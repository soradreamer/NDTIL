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D013\NDTIL\01_first_seika\"/>
    </mc:Choice>
  </mc:AlternateContent>
  <xr:revisionPtr revIDLastSave="0" documentId="13_ncr:1_{FDD81091-35A8-4FF5-B071-FCE4EEB1588C}" xr6:coauthVersionLast="36" xr6:coauthVersionMax="47" xr10:uidLastSave="{00000000-0000-0000-0000-000000000000}"/>
  <bookViews>
    <workbookView xWindow="0" yWindow="0" windowWidth="19200" windowHeight="9270" activeTab="2" xr2:uid="{00000000-000D-0000-FFFF-FFFF00000000}"/>
  </bookViews>
  <sheets>
    <sheet name="ポートフォリオの目的" sheetId="3" r:id="rId1"/>
    <sheet name="Sample成果物スケジュール_サンプル" sheetId="6" r:id="rId2"/>
    <sheet name="ポートフォリオ" sheetId="2" r:id="rId3"/>
    <sheet name="進捗管理表" sheetId="7" r:id="rId4"/>
    <sheet name="祝日" sheetId="8" state="hidden" r:id="rId5"/>
  </sheets>
  <definedNames>
    <definedName name="_xlnm.Print_Area" localSheetId="1">Sample成果物スケジュール_サンプル!$B$4:$D$24</definedName>
    <definedName name="_xlnm.Print_Area" localSheetId="3">進捗管理表!$B$4:$D$24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6" l="1"/>
  <c r="J24" i="6" s="1"/>
  <c r="F24" i="6"/>
  <c r="J40" i="7"/>
  <c r="I40" i="7"/>
  <c r="F40" i="7"/>
  <c r="I39" i="7"/>
  <c r="J39" i="7" s="1"/>
  <c r="F39" i="7"/>
  <c r="I38" i="7"/>
  <c r="F38" i="7"/>
  <c r="J38" i="7" s="1"/>
  <c r="I37" i="7"/>
  <c r="J37" i="7" s="1"/>
  <c r="F37" i="7"/>
  <c r="J36" i="7"/>
  <c r="I36" i="7"/>
  <c r="F36" i="7"/>
  <c r="I35" i="7"/>
  <c r="J35" i="7" s="1"/>
  <c r="F35" i="7"/>
  <c r="I34" i="7"/>
  <c r="F34" i="7"/>
  <c r="J34" i="7" s="1"/>
  <c r="I33" i="7"/>
  <c r="J33" i="7" s="1"/>
  <c r="F33" i="7"/>
  <c r="J32" i="7"/>
  <c r="I32" i="7"/>
  <c r="F32" i="7"/>
  <c r="I31" i="7"/>
  <c r="J31" i="7" s="1"/>
  <c r="F31" i="7"/>
  <c r="I30" i="7"/>
  <c r="F30" i="7"/>
  <c r="J30" i="7" s="1"/>
  <c r="I29" i="7"/>
  <c r="J29" i="7" s="1"/>
  <c r="F29" i="7"/>
  <c r="J28" i="7"/>
  <c r="I28" i="7"/>
  <c r="F28" i="7"/>
  <c r="I27" i="7"/>
  <c r="J27" i="7" s="1"/>
  <c r="F27" i="7"/>
  <c r="I26" i="7"/>
  <c r="F26" i="7"/>
  <c r="J26" i="7" s="1"/>
  <c r="I25" i="7"/>
  <c r="J25" i="7" s="1"/>
  <c r="F25" i="7"/>
  <c r="J24" i="7"/>
  <c r="I24" i="7"/>
  <c r="F24" i="7"/>
  <c r="I23" i="7"/>
  <c r="J23" i="7" s="1"/>
  <c r="F23" i="7"/>
  <c r="I22" i="7"/>
  <c r="F22" i="7"/>
  <c r="J22" i="7" s="1"/>
  <c r="I21" i="7"/>
  <c r="F21" i="7"/>
  <c r="I20" i="7"/>
  <c r="F20" i="7"/>
  <c r="I19" i="7"/>
  <c r="F19" i="7"/>
  <c r="I18" i="7"/>
  <c r="F18" i="7"/>
  <c r="I17" i="7"/>
  <c r="F17" i="7"/>
  <c r="I16" i="7"/>
  <c r="F16" i="7"/>
  <c r="C9" i="7"/>
  <c r="I23" i="6"/>
  <c r="F23" i="6"/>
  <c r="I22" i="6"/>
  <c r="F22" i="6"/>
  <c r="I21" i="6"/>
  <c r="F21" i="6"/>
  <c r="I20" i="6"/>
  <c r="F20" i="6"/>
  <c r="I19" i="6"/>
  <c r="F19" i="6"/>
  <c r="I18" i="6"/>
  <c r="F18" i="6"/>
  <c r="I17" i="6"/>
  <c r="F17" i="6"/>
  <c r="I16" i="6"/>
  <c r="F16" i="6"/>
  <c r="C9" i="6"/>
  <c r="J20" i="7" l="1"/>
  <c r="J18" i="7"/>
  <c r="J16" i="7"/>
  <c r="J21" i="7"/>
  <c r="J19" i="7"/>
  <c r="J17" i="7"/>
  <c r="J16" i="6"/>
  <c r="J22" i="6"/>
  <c r="J23" i="6"/>
  <c r="J19" i="6"/>
  <c r="J17" i="6"/>
  <c r="J18" i="6"/>
  <c r="J20" i="6"/>
  <c r="J21" i="6"/>
</calcChain>
</file>

<file path=xl/sharedStrings.xml><?xml version="1.0" encoding="utf-8"?>
<sst xmlns="http://schemas.openxmlformats.org/spreadsheetml/2006/main" count="145" uniqueCount="112">
  <si>
    <t>ポートフォリオの目的</t>
    <rPh sb="8" eb="10">
      <t>モクテキ</t>
    </rPh>
    <phoneticPr fontId="1"/>
  </si>
  <si>
    <t>ポートフォリオの立ち位置として、就職活動を行う場合の「履歴書」「業務経歴書」と同じポジションの資料として扱う想定です。</t>
    <phoneticPr fontId="1"/>
  </si>
  <si>
    <t>本資料を使って、「スキル」「人間性」「ビジネス感」の3点をアピールする資料として活用いただく想定です。</t>
    <phoneticPr fontId="1"/>
  </si>
  <si>
    <t>■スキル</t>
  </si>
  <si>
    <t>プログラミング能力、精度の高いモデル構築、課題に対してのツールの理解力 などになります</t>
    <phoneticPr fontId="1"/>
  </si>
  <si>
    <t>■人間性</t>
    <phoneticPr fontId="1"/>
  </si>
  <si>
    <t>主に【工夫・苦労点】などの欄の内容となります。</t>
    <rPh sb="0" eb="1">
      <t>オモ</t>
    </rPh>
    <phoneticPr fontId="1"/>
  </si>
  <si>
    <t>何か新しい事に挑戦したとき、壁に当たったときにどの様に乗り越えるかをポジティブに記載していただければと思います。</t>
    <phoneticPr fontId="1"/>
  </si>
  <si>
    <t>■ビジネス感</t>
    <phoneticPr fontId="1"/>
  </si>
  <si>
    <t>確認する項目として</t>
  </si>
  <si>
    <t>・ロジカルに思考できているか</t>
  </si>
  <si>
    <t>・相手に正しく、分かりやすく説明ができるか</t>
  </si>
  <si>
    <t>・表層のみの思考で思考停止していないか</t>
  </si>
  <si>
    <t>・成果物として作成されたモノを実際の現場で使った場合の具体的な実用イメージ、</t>
  </si>
  <si>
    <t>　企業メリットまで想像力を広げて思考することができるか</t>
  </si>
  <si>
    <t>　（作りたいから作った、などの自己満足ではない）</t>
  </si>
  <si>
    <t>など</t>
  </si>
  <si>
    <t>以上の視点をアピールするために「背景」「目的」の記載をお願いしています。</t>
  </si>
  <si>
    <t>※青文字は作成時に消すこと</t>
    <rPh sb="1" eb="4">
      <t>アオモジ</t>
    </rPh>
    <rPh sb="5" eb="8">
      <t>サクセイジ</t>
    </rPh>
    <rPh sb="9" eb="10">
      <t>ケ</t>
    </rPh>
    <phoneticPr fontId="1"/>
  </si>
  <si>
    <t>日付</t>
  </si>
  <si>
    <t>20●●/●/●</t>
  </si>
  <si>
    <t>タイトル</t>
    <phoneticPr fontId="1"/>
  </si>
  <si>
    <t>テーマ選定の理由</t>
    <phoneticPr fontId="1"/>
  </si>
  <si>
    <t>想定業界</t>
  </si>
  <si>
    <t>想定企業</t>
  </si>
  <si>
    <t>想定ポジション</t>
  </si>
  <si>
    <t>背景</t>
    <phoneticPr fontId="1"/>
  </si>
  <si>
    <t>目的</t>
    <phoneticPr fontId="1"/>
  </si>
  <si>
    <t>概要</t>
    <phoneticPr fontId="1"/>
  </si>
  <si>
    <t>アプローチの理由</t>
    <phoneticPr fontId="1"/>
  </si>
  <si>
    <t>結果を何に活かせるのか</t>
    <phoneticPr fontId="1"/>
  </si>
  <si>
    <t>使用言語・環境</t>
  </si>
  <si>
    <t>成果物（出力結果）</t>
  </si>
  <si>
    <t>効果</t>
    <rPh sb="0" eb="2">
      <t>コウカ</t>
    </rPh>
    <phoneticPr fontId="1"/>
  </si>
  <si>
    <t>工夫点・苦労点</t>
    <rPh sb="0" eb="3">
      <t>クフウテン</t>
    </rPh>
    <rPh sb="4" eb="7">
      <t>クロウテン</t>
    </rPh>
    <phoneticPr fontId="1"/>
  </si>
  <si>
    <t>今後の施策</t>
    <phoneticPr fontId="1"/>
  </si>
  <si>
    <t>記述コード</t>
  </si>
  <si>
    <t>結果</t>
    <rPh sb="0" eb="2">
      <t>ケッカ</t>
    </rPh>
    <phoneticPr fontId="1"/>
  </si>
  <si>
    <t>全体スケジュール</t>
    <rPh sb="0" eb="2">
      <t>ゼンタイ</t>
    </rPh>
    <phoneticPr fontId="12"/>
  </si>
  <si>
    <t>成果物タイトル</t>
    <rPh sb="0" eb="3">
      <t>セイカブツ</t>
    </rPh>
    <phoneticPr fontId="12"/>
  </si>
  <si>
    <t>Sample成果物スケジュール</t>
    <rPh sb="6" eb="9">
      <t>セイカブツ</t>
    </rPh>
    <phoneticPr fontId="12"/>
  </si>
  <si>
    <t>開始予定日</t>
    <rPh sb="0" eb="2">
      <t>カイシ</t>
    </rPh>
    <rPh sb="2" eb="5">
      <t>ヨテイビ</t>
    </rPh>
    <phoneticPr fontId="12"/>
  </si>
  <si>
    <t>終了予定日</t>
    <rPh sb="0" eb="2">
      <t>シュウリョウ</t>
    </rPh>
    <rPh sb="2" eb="4">
      <t>ヨテイ</t>
    </rPh>
    <rPh sb="4" eb="5">
      <t>ビ</t>
    </rPh>
    <phoneticPr fontId="12"/>
  </si>
  <si>
    <t>開始実績日</t>
    <rPh sb="0" eb="2">
      <t>カイシ</t>
    </rPh>
    <rPh sb="2" eb="4">
      <t>ジッセキ</t>
    </rPh>
    <rPh sb="4" eb="5">
      <t>ビ</t>
    </rPh>
    <phoneticPr fontId="12"/>
  </si>
  <si>
    <t>終了実績日</t>
    <rPh sb="0" eb="2">
      <t>シュウリョウ</t>
    </rPh>
    <rPh sb="2" eb="5">
      <t>ジッセキビ</t>
    </rPh>
    <phoneticPr fontId="12"/>
  </si>
  <si>
    <t>(全体)遅延工数</t>
    <rPh sb="1" eb="3">
      <t>ゼンタイ</t>
    </rPh>
    <rPh sb="4" eb="6">
      <t>チエン</t>
    </rPh>
    <rPh sb="6" eb="8">
      <t>コウスウ</t>
    </rPh>
    <phoneticPr fontId="12"/>
  </si>
  <si>
    <t>※ 数式が入っているため入力しない</t>
    <rPh sb="2" eb="4">
      <t>スウシキ</t>
    </rPh>
    <rPh sb="5" eb="6">
      <t>ハイ</t>
    </rPh>
    <rPh sb="12" eb="14">
      <t>ニュウリョク</t>
    </rPh>
    <phoneticPr fontId="12"/>
  </si>
  <si>
    <t>タスクごとのスケジュール</t>
    <phoneticPr fontId="12"/>
  </si>
  <si>
    <t>タスク</t>
    <phoneticPr fontId="12"/>
  </si>
  <si>
    <r>
      <t xml:space="preserve">追加フラグ
</t>
    </r>
    <r>
      <rPr>
        <sz val="10"/>
        <color rgb="FFFF0000"/>
        <rFont val="Meiryo UI"/>
        <family val="3"/>
        <charset val="128"/>
      </rPr>
      <t>※ 途中でタスクを
追加した場合</t>
    </r>
    <rPh sb="0" eb="2">
      <t>ツイカ</t>
    </rPh>
    <rPh sb="8" eb="10">
      <t>トチュウ</t>
    </rPh>
    <rPh sb="16" eb="18">
      <t>ツイカ</t>
    </rPh>
    <rPh sb="20" eb="22">
      <t>バアイ</t>
    </rPh>
    <phoneticPr fontId="12"/>
  </si>
  <si>
    <t>予定</t>
    <rPh sb="0" eb="2">
      <t>ヨテイ</t>
    </rPh>
    <phoneticPr fontId="12"/>
  </si>
  <si>
    <t>実績</t>
    <rPh sb="0" eb="2">
      <t>ジッセキ</t>
    </rPh>
    <phoneticPr fontId="12"/>
  </si>
  <si>
    <r>
      <t xml:space="preserve">(タスクごと)遅延工数
</t>
    </r>
    <r>
      <rPr>
        <sz val="11"/>
        <rFont val="Meiryo UI"/>
        <family val="3"/>
        <charset val="128"/>
      </rPr>
      <t>※ 実績工数-予定工数</t>
    </r>
    <rPh sb="7" eb="9">
      <t>チエン</t>
    </rPh>
    <rPh sb="9" eb="11">
      <t>コウスウ</t>
    </rPh>
    <rPh sb="14" eb="16">
      <t>ジッセキ</t>
    </rPh>
    <rPh sb="16" eb="18">
      <t>コウスウ</t>
    </rPh>
    <rPh sb="19" eb="21">
      <t>ヨテイ</t>
    </rPh>
    <rPh sb="21" eb="23">
      <t>コウスウ</t>
    </rPh>
    <phoneticPr fontId="12"/>
  </si>
  <si>
    <r>
      <t xml:space="preserve">ステータス
</t>
    </r>
    <r>
      <rPr>
        <b/>
        <sz val="11"/>
        <rFont val="Meiryo UI"/>
        <family val="3"/>
        <charset val="128"/>
      </rPr>
      <t xml:space="preserve">※ </t>
    </r>
    <r>
      <rPr>
        <sz val="11"/>
        <rFont val="Meiryo UI"/>
        <family val="3"/>
        <charset val="128"/>
      </rPr>
      <t>未実施,実施中,終了</t>
    </r>
    <rPh sb="8" eb="11">
      <t>ミジッシ</t>
    </rPh>
    <rPh sb="12" eb="15">
      <t>ジッシチュウ</t>
    </rPh>
    <rPh sb="16" eb="18">
      <t>シュウリョウ</t>
    </rPh>
    <phoneticPr fontId="12"/>
  </si>
  <si>
    <r>
      <t xml:space="preserve">備考
</t>
    </r>
    <r>
      <rPr>
        <sz val="11"/>
        <rFont val="Meiryo UI"/>
        <family val="3"/>
        <charset val="128"/>
      </rPr>
      <t>※ 遅延の理由などを記載</t>
    </r>
    <rPh sb="0" eb="2">
      <t>ビコウ</t>
    </rPh>
    <rPh sb="5" eb="7">
      <t>チエン</t>
    </rPh>
    <rPh sb="8" eb="10">
      <t>リユウ</t>
    </rPh>
    <rPh sb="13" eb="15">
      <t>キサイ</t>
    </rPh>
    <phoneticPr fontId="12"/>
  </si>
  <si>
    <t>開始日</t>
    <rPh sb="0" eb="2">
      <t>カイシ</t>
    </rPh>
    <phoneticPr fontId="12"/>
  </si>
  <si>
    <t>終了日</t>
    <rPh sb="0" eb="2">
      <t>シュウリョウ</t>
    </rPh>
    <rPh sb="2" eb="3">
      <t>ビ</t>
    </rPh>
    <phoneticPr fontId="12"/>
  </si>
  <si>
    <t>工数</t>
    <rPh sb="0" eb="2">
      <t>コウスウ</t>
    </rPh>
    <phoneticPr fontId="12"/>
  </si>
  <si>
    <t>開始日</t>
    <rPh sb="0" eb="3">
      <t>カイシビビ</t>
    </rPh>
    <phoneticPr fontId="12"/>
  </si>
  <si>
    <t>技術調査(動画視聴、ネット調査)</t>
    <rPh sb="0" eb="2">
      <t>ギジュツ</t>
    </rPh>
    <rPh sb="2" eb="4">
      <t>チョウサ</t>
    </rPh>
    <rPh sb="5" eb="7">
      <t>ドウガ</t>
    </rPh>
    <rPh sb="7" eb="9">
      <t>シチョウ</t>
    </rPh>
    <rPh sb="13" eb="15">
      <t>チョウサ</t>
    </rPh>
    <phoneticPr fontId="12"/>
  </si>
  <si>
    <t>終了</t>
  </si>
  <si>
    <t>環境構築</t>
    <rPh sb="0" eb="4">
      <t>カンキョウコウチク</t>
    </rPh>
    <phoneticPr fontId="12"/>
  </si>
  <si>
    <t>追加</t>
  </si>
  <si>
    <t>システム作成</t>
    <rPh sb="4" eb="6">
      <t>サクセイ</t>
    </rPh>
    <phoneticPr fontId="12"/>
  </si>
  <si>
    <t>急に発表資料を作成する必要があり、成果物作成が遅れた。</t>
    <rPh sb="0" eb="1">
      <t>キュウ</t>
    </rPh>
    <rPh sb="2" eb="6">
      <t>ハッピョウシリョウ</t>
    </rPh>
    <rPh sb="7" eb="9">
      <t>サクセイ</t>
    </rPh>
    <rPh sb="11" eb="13">
      <t>ヒツヨウ</t>
    </rPh>
    <rPh sb="17" eb="20">
      <t>セイカブツ</t>
    </rPh>
    <rPh sb="20" eb="22">
      <t>サクセイ</t>
    </rPh>
    <rPh sb="23" eb="24">
      <t>オク</t>
    </rPh>
    <phoneticPr fontId="12"/>
  </si>
  <si>
    <t>IT面談(相談)</t>
    <rPh sb="2" eb="4">
      <t>メンダン</t>
    </rPh>
    <rPh sb="5" eb="7">
      <t>ソウダン</t>
    </rPh>
    <phoneticPr fontId="12"/>
  </si>
  <si>
    <t>プログラム修正</t>
    <rPh sb="5" eb="7">
      <t>シュウセイ</t>
    </rPh>
    <phoneticPr fontId="12"/>
  </si>
  <si>
    <t>修正する箇所が想定より少なく、早く作業が終わった。</t>
    <rPh sb="0" eb="2">
      <t>シュウセイ</t>
    </rPh>
    <rPh sb="4" eb="6">
      <t>カショ</t>
    </rPh>
    <rPh sb="7" eb="9">
      <t>ソウテイ</t>
    </rPh>
    <rPh sb="11" eb="12">
      <t>スク</t>
    </rPh>
    <rPh sb="15" eb="16">
      <t>ハヤ</t>
    </rPh>
    <rPh sb="17" eb="19">
      <t>サギョウ</t>
    </rPh>
    <rPh sb="20" eb="21">
      <t>オ</t>
    </rPh>
    <phoneticPr fontId="12"/>
  </si>
  <si>
    <t>ポートフォリオ作成</t>
    <rPh sb="7" eb="9">
      <t>サクセイ</t>
    </rPh>
    <phoneticPr fontId="12"/>
  </si>
  <si>
    <t>修正する箇所が想定より少なく、早く作業が終わった。</t>
    <phoneticPr fontId="12"/>
  </si>
  <si>
    <t>元日</t>
  </si>
  <si>
    <t>成人の日</t>
  </si>
  <si>
    <t>建国記念の日</t>
  </si>
  <si>
    <t>天皇誕生日</t>
  </si>
  <si>
    <t>春分の日</t>
  </si>
  <si>
    <t>昭和の日</t>
  </si>
  <si>
    <t>憲法記念日</t>
  </si>
  <si>
    <t>みどりの日</t>
  </si>
  <si>
    <t>こどもの日</t>
  </si>
  <si>
    <t>海の日</t>
  </si>
  <si>
    <t>山の日</t>
  </si>
  <si>
    <t>敬老の日</t>
  </si>
  <si>
    <t>秋分の日</t>
  </si>
  <si>
    <t>スポーツの日</t>
  </si>
  <si>
    <t>文化の日</t>
  </si>
  <si>
    <t>勤労感謝の日</t>
  </si>
  <si>
    <t>※ (工数)数式が入っているため入力しない</t>
    <rPh sb="3" eb="5">
      <t>コウスウ</t>
    </rPh>
    <rPh sb="6" eb="8">
      <t>スウシキ</t>
    </rPh>
    <rPh sb="9" eb="10">
      <t>ハイ</t>
    </rPh>
    <rPh sb="16" eb="18">
      <t>ニュウリョク</t>
    </rPh>
    <phoneticPr fontId="12"/>
  </si>
  <si>
    <t>三日提出が遅れてしまった。</t>
    <rPh sb="0" eb="2">
      <t>ミッカ</t>
    </rPh>
    <rPh sb="2" eb="4">
      <t>テイシュツ</t>
    </rPh>
    <rPh sb="5" eb="6">
      <t>オク</t>
    </rPh>
    <phoneticPr fontId="1"/>
  </si>
  <si>
    <t>成果物納品</t>
    <rPh sb="0" eb="3">
      <t>セイカブツ</t>
    </rPh>
    <rPh sb="3" eb="5">
      <t>ノウヒン</t>
    </rPh>
    <phoneticPr fontId="12"/>
  </si>
  <si>
    <t>成果物納品</t>
    <phoneticPr fontId="1"/>
  </si>
  <si>
    <t>※ 最終行は成果物納品とする。</t>
    <rPh sb="2" eb="4">
      <t>サイシュウ</t>
    </rPh>
    <rPh sb="4" eb="5">
      <t>ギョウ</t>
    </rPh>
    <rPh sb="6" eb="9">
      <t>セイカブツ</t>
    </rPh>
    <rPh sb="9" eb="11">
      <t>ノウヒン</t>
    </rPh>
    <phoneticPr fontId="1"/>
  </si>
  <si>
    <t>検索、動画視聴</t>
    <rPh sb="0" eb="2">
      <t>ケンサク</t>
    </rPh>
    <rPh sb="3" eb="7">
      <t>ドウガシチョウ</t>
    </rPh>
    <phoneticPr fontId="1"/>
  </si>
  <si>
    <t>環境構築</t>
    <rPh sb="0" eb="4">
      <t>カンキョウコウチク</t>
    </rPh>
    <phoneticPr fontId="1"/>
  </si>
  <si>
    <t>データ確認、EDA</t>
    <rPh sb="3" eb="5">
      <t>カクニン</t>
    </rPh>
    <phoneticPr fontId="1"/>
  </si>
  <si>
    <t>ベースモデル作成</t>
    <rPh sb="6" eb="8">
      <t>サクセイ</t>
    </rPh>
    <phoneticPr fontId="1"/>
  </si>
  <si>
    <t>改良モデル作成</t>
    <rPh sb="0" eb="2">
      <t>カイリョウ</t>
    </rPh>
    <rPh sb="5" eb="7">
      <t>サクセイ</t>
    </rPh>
    <phoneticPr fontId="1"/>
  </si>
  <si>
    <t>説明資料作成</t>
    <rPh sb="0" eb="2">
      <t>セツメイ</t>
    </rPh>
    <rPh sb="2" eb="6">
      <t>シリョウサクセイ</t>
    </rPh>
    <phoneticPr fontId="1"/>
  </si>
  <si>
    <t>・時系列データのコンペに興味があった・野菜の配送のアルバイトの経験があるため、ドメイン知識が役立つと考えた。</t>
    <rPh sb="1" eb="4">
      <t>ジケイレツ</t>
    </rPh>
    <rPh sb="12" eb="14">
      <t>キョウミ</t>
    </rPh>
    <rPh sb="19" eb="21">
      <t>ヤサイ</t>
    </rPh>
    <rPh sb="22" eb="24">
      <t>ハイソウ</t>
    </rPh>
    <rPh sb="31" eb="33">
      <t>ケイケン</t>
    </rPh>
    <rPh sb="43" eb="45">
      <t>チシキ</t>
    </rPh>
    <rPh sb="46" eb="48">
      <t>ヤクダ</t>
    </rPh>
    <rPh sb="50" eb="51">
      <t>カンガ</t>
    </rPh>
    <phoneticPr fontId="1"/>
  </si>
  <si>
    <t>生鮮野菜の価格予測</t>
    <phoneticPr fontId="1"/>
  </si>
  <si>
    <t>小売業</t>
    <rPh sb="0" eb="3">
      <t>コウリギョウ</t>
    </rPh>
    <phoneticPr fontId="1"/>
  </si>
  <si>
    <t>イオン株式会社</t>
    <rPh sb="3" eb="7">
      <t>カブシキガイシャ</t>
    </rPh>
    <phoneticPr fontId="1"/>
  </si>
  <si>
    <t>東京都中央卸売市場日報から得た野菜の平均価格、気象庁から得た天気データ</t>
    <rPh sb="13" eb="14">
      <t>エ</t>
    </rPh>
    <rPh sb="15" eb="17">
      <t>ヤサイ</t>
    </rPh>
    <rPh sb="18" eb="20">
      <t>ヘイキン</t>
    </rPh>
    <rPh sb="20" eb="22">
      <t>カカク</t>
    </rPh>
    <rPh sb="23" eb="26">
      <t>キショウチョウ</t>
    </rPh>
    <rPh sb="28" eb="29">
      <t>エ</t>
    </rPh>
    <rPh sb="30" eb="32">
      <t>テンキ</t>
    </rPh>
    <phoneticPr fontId="1"/>
  </si>
  <si>
    <t>関連するデータから未来の価格予想が可能になる。</t>
    <rPh sb="0" eb="2">
      <t>カンレン</t>
    </rPh>
    <rPh sb="9" eb="11">
      <t>ミライ</t>
    </rPh>
    <rPh sb="12" eb="16">
      <t>カカクヨソウ</t>
    </rPh>
    <rPh sb="17" eb="19">
      <t>カノウ</t>
    </rPh>
    <phoneticPr fontId="1"/>
  </si>
  <si>
    <t>・python・jupyternotebook・github</t>
    <phoneticPr fontId="1"/>
  </si>
  <si>
    <t>成果物から確認できた結果を定性（実用に耐えうるか、課題を解決できるか）
最終的なRMSPEのスコアは15.993108となった。価格変動が激しい野菜類だと妥当なスコアだが、予測だけでは不安な値であるため、人の補助が必要である。</t>
    <rPh sb="36" eb="39">
      <t>サイシュウテキ</t>
    </rPh>
    <rPh sb="64" eb="68">
      <t>カカクヘンドウ</t>
    </rPh>
    <rPh sb="69" eb="70">
      <t>ハゲ</t>
    </rPh>
    <rPh sb="72" eb="75">
      <t>ヤサイルイ</t>
    </rPh>
    <rPh sb="77" eb="79">
      <t>ダトウ</t>
    </rPh>
    <rPh sb="86" eb="88">
      <t>ヨソク</t>
    </rPh>
    <rPh sb="92" eb="94">
      <t>フアン</t>
    </rPh>
    <rPh sb="95" eb="96">
      <t>アタイ</t>
    </rPh>
    <rPh sb="102" eb="103">
      <t>ヒト</t>
    </rPh>
    <rPh sb="104" eb="106">
      <t>ホジョ</t>
    </rPh>
    <rPh sb="107" eb="109">
      <t>ヒツヨウ</t>
    </rPh>
    <phoneticPr fontId="1"/>
  </si>
  <si>
    <t>本テーマを活用する企業のポジション・役職・部署・役割を記載。野菜の仕入れ担当者　</t>
    <phoneticPr fontId="1"/>
  </si>
  <si>
    <t>小売業は常に在庫を抱えるリスクと向かい合っている。需要の予測とその価格を常に検討する必要がある。ただ、野菜類一つ一つを設定することは難しく、特に価格変動が大きいものをすべて対応することは難しい。</t>
    <rPh sb="0" eb="3">
      <t>コウリギョウ</t>
    </rPh>
    <rPh sb="4" eb="5">
      <t>ツネ</t>
    </rPh>
    <rPh sb="6" eb="8">
      <t>ザイコ</t>
    </rPh>
    <rPh sb="9" eb="10">
      <t>カカ</t>
    </rPh>
    <rPh sb="16" eb="17">
      <t>ム</t>
    </rPh>
    <rPh sb="19" eb="20">
      <t>ア</t>
    </rPh>
    <rPh sb="25" eb="27">
      <t>ジュヨウ</t>
    </rPh>
    <rPh sb="28" eb="30">
      <t>ヨソク</t>
    </rPh>
    <rPh sb="33" eb="35">
      <t>カカク</t>
    </rPh>
    <rPh sb="36" eb="37">
      <t>ツネ</t>
    </rPh>
    <rPh sb="38" eb="40">
      <t>ケントウ</t>
    </rPh>
    <rPh sb="42" eb="44">
      <t>ヒツヨウ</t>
    </rPh>
    <rPh sb="51" eb="54">
      <t>ヤサイルイ</t>
    </rPh>
    <rPh sb="54" eb="55">
      <t>ヒト</t>
    </rPh>
    <rPh sb="56" eb="57">
      <t>ヒト</t>
    </rPh>
    <rPh sb="59" eb="61">
      <t>セッテイ</t>
    </rPh>
    <rPh sb="66" eb="67">
      <t>ムズカ</t>
    </rPh>
    <rPh sb="70" eb="71">
      <t>トク</t>
    </rPh>
    <rPh sb="72" eb="74">
      <t>カカク</t>
    </rPh>
    <rPh sb="74" eb="76">
      <t>ヘンドウ</t>
    </rPh>
    <rPh sb="77" eb="78">
      <t>オオ</t>
    </rPh>
    <rPh sb="86" eb="88">
      <t>タイオウ</t>
    </rPh>
    <rPh sb="93" eb="94">
      <t>ムズカ</t>
    </rPh>
    <phoneticPr fontId="1"/>
  </si>
  <si>
    <t xml:space="preserve">背景を踏まえ、本成果物を利用することで想定企業にどのような利点があるのかを記載
 →想定企業でどのタイミングでのどの様に活用するか具体的に記載
 →工数削減、人件費削減など、なるべく明確に想定企業目線でメリットを記載
今までの野菜の仕入れ値データから、自動である程度の価格を提示できれば、価格変更の作業の手間を大幅に減らすことができる。
</t>
    <rPh sb="109" eb="110">
      <t>イマ</t>
    </rPh>
    <rPh sb="113" eb="115">
      <t>ヤサイ</t>
    </rPh>
    <rPh sb="116" eb="118">
      <t>シイ</t>
    </rPh>
    <rPh sb="119" eb="120">
      <t>ネ</t>
    </rPh>
    <rPh sb="126" eb="128">
      <t>ジドウ</t>
    </rPh>
    <rPh sb="131" eb="133">
      <t>テイド</t>
    </rPh>
    <rPh sb="134" eb="136">
      <t>カカク</t>
    </rPh>
    <rPh sb="137" eb="139">
      <t>テイジ</t>
    </rPh>
    <rPh sb="144" eb="148">
      <t>カカクヘンコウ</t>
    </rPh>
    <rPh sb="149" eb="151">
      <t>サギョウ</t>
    </rPh>
    <rPh sb="152" eb="154">
      <t>テマ</t>
    </rPh>
    <rPh sb="155" eb="157">
      <t>オオハバ</t>
    </rPh>
    <rPh sb="158" eb="159">
      <t>ヘ</t>
    </rPh>
    <phoneticPr fontId="1"/>
  </si>
  <si>
    <t>野菜は季節や台風などによって生産量が大きく変わり、価格変動が激しいため。そこで今までの売値データと天気データにより価格の予測を行う。</t>
    <rPh sb="39" eb="40">
      <t>イマ</t>
    </rPh>
    <rPh sb="43" eb="45">
      <t>ウリネ</t>
    </rPh>
    <rPh sb="49" eb="51">
      <t>テンキ</t>
    </rPh>
    <rPh sb="57" eb="59">
      <t>カカク</t>
    </rPh>
    <rPh sb="60" eb="62">
      <t>ヨソク</t>
    </rPh>
    <rPh sb="63" eb="64">
      <t>オコナ</t>
    </rPh>
    <phoneticPr fontId="1"/>
  </si>
  <si>
    <t>定量（機械学習モデルの場合は精度、業務をどのくらい短縮できるか　など）で記述
どの様に作成したか、どの様な結果となったかを記載
それぞれ決定木モデルを利用した、lightgbm、XGBoost、Catboostの三つの予測モデルから、各データの平均値価格を最終結果とした。</t>
    <rPh sb="0" eb="2">
      <t>テイリョウ</t>
    </rPh>
    <rPh sb="17" eb="19">
      <t>ギョウム</t>
    </rPh>
    <rPh sb="25" eb="27">
      <t>タンシュク</t>
    </rPh>
    <rPh sb="36" eb="38">
      <t>キジュツ</t>
    </rPh>
    <rPh sb="41" eb="42">
      <t>ヨウ</t>
    </rPh>
    <rPh sb="43" eb="45">
      <t>サクセイ</t>
    </rPh>
    <rPh sb="51" eb="52">
      <t>ヨウ</t>
    </rPh>
    <rPh sb="53" eb="55">
      <t>ケッカ</t>
    </rPh>
    <rPh sb="61" eb="63">
      <t>キサイ</t>
    </rPh>
    <phoneticPr fontId="1"/>
  </si>
  <si>
    <t>・初期モデルを作成することが大変だった。日付データを
・卸売データと天気データの結合するために地域データすべてを使うことが難しかった。Exprod関数を使うことで卸売データに記載されていた地域すべての天気情報を利用できた。
・earlystoppingやk-fold法といった過学習を防ぐ機能を入れるのに苦労した。
・一括ではなく、各野菜ごとに学習モデルを用意するプログラムを作るのが難しかった。</t>
    <rPh sb="1" eb="3">
      <t>ショキ</t>
    </rPh>
    <rPh sb="7" eb="9">
      <t>サクセイ</t>
    </rPh>
    <rPh sb="14" eb="16">
      <t>タイヘン</t>
    </rPh>
    <rPh sb="20" eb="22">
      <t>ヒヅケ</t>
    </rPh>
    <rPh sb="28" eb="30">
      <t>オロシウリ</t>
    </rPh>
    <rPh sb="34" eb="36">
      <t>テンキ</t>
    </rPh>
    <rPh sb="40" eb="42">
      <t>ケツゴウ</t>
    </rPh>
    <rPh sb="47" eb="49">
      <t>チイキ</t>
    </rPh>
    <rPh sb="56" eb="57">
      <t>ツカ</t>
    </rPh>
    <rPh sb="61" eb="62">
      <t>ムズカ</t>
    </rPh>
    <rPh sb="81" eb="83">
      <t>オロシウリ</t>
    </rPh>
    <rPh sb="87" eb="89">
      <t>キサイ</t>
    </rPh>
    <rPh sb="94" eb="96">
      <t>チイキ</t>
    </rPh>
    <rPh sb="100" eb="102">
      <t>テンキ</t>
    </rPh>
    <rPh sb="102" eb="104">
      <t>ジョウホウ</t>
    </rPh>
    <rPh sb="105" eb="107">
      <t>リヨウ</t>
    </rPh>
    <rPh sb="133" eb="134">
      <t>ホウ</t>
    </rPh>
    <rPh sb="138" eb="141">
      <t>カガクシュウ</t>
    </rPh>
    <rPh sb="142" eb="143">
      <t>フセ</t>
    </rPh>
    <rPh sb="144" eb="146">
      <t>キノウ</t>
    </rPh>
    <rPh sb="147" eb="148">
      <t>イ</t>
    </rPh>
    <rPh sb="152" eb="154">
      <t>クロウ</t>
    </rPh>
    <rPh sb="159" eb="161">
      <t>イッカツ</t>
    </rPh>
    <rPh sb="166" eb="169">
      <t>カクヤサイ</t>
    </rPh>
    <rPh sb="172" eb="174">
      <t>ガクシュウ</t>
    </rPh>
    <rPh sb="178" eb="180">
      <t>ヨウイ</t>
    </rPh>
    <rPh sb="188" eb="189">
      <t>ツク</t>
    </rPh>
    <rPh sb="192" eb="193">
      <t>ムズカ</t>
    </rPh>
    <phoneticPr fontId="1"/>
  </si>
  <si>
    <t>本成果物をブラッシュアップするために、今後どのような取り組みが必要か記載
・卸売データが予測できるなら、仕入れ数を予測するモデルと、自動で発注を行うシステムを作成する必要があると感じた。各企業が持つ発注システムに売り上げデータを使用した新たなモデル作成することで、更なる業務効率化につながる。</t>
    <rPh sb="38" eb="40">
      <t>オロシウリ</t>
    </rPh>
    <rPh sb="44" eb="46">
      <t>ヨソク</t>
    </rPh>
    <rPh sb="52" eb="54">
      <t>シイ</t>
    </rPh>
    <rPh sb="55" eb="56">
      <t>スウ</t>
    </rPh>
    <rPh sb="57" eb="59">
      <t>ヨソク</t>
    </rPh>
    <rPh sb="66" eb="68">
      <t>ジドウ</t>
    </rPh>
    <rPh sb="69" eb="71">
      <t>ハッチュウ</t>
    </rPh>
    <rPh sb="72" eb="73">
      <t>オコナ</t>
    </rPh>
    <rPh sb="79" eb="81">
      <t>サクセイ</t>
    </rPh>
    <rPh sb="83" eb="85">
      <t>ヒツヨウ</t>
    </rPh>
    <rPh sb="89" eb="90">
      <t>カン</t>
    </rPh>
    <rPh sb="93" eb="94">
      <t>カク</t>
    </rPh>
    <rPh sb="94" eb="96">
      <t>キギョウ</t>
    </rPh>
    <rPh sb="97" eb="98">
      <t>モ</t>
    </rPh>
    <rPh sb="99" eb="101">
      <t>ハッチュウ</t>
    </rPh>
    <rPh sb="106" eb="107">
      <t>ウ</t>
    </rPh>
    <rPh sb="108" eb="109">
      <t>ア</t>
    </rPh>
    <rPh sb="114" eb="116">
      <t>シヨウ</t>
    </rPh>
    <rPh sb="118" eb="119">
      <t>アラ</t>
    </rPh>
    <rPh sb="124" eb="126">
      <t>サクセイ</t>
    </rPh>
    <rPh sb="132" eb="133">
      <t>サラ</t>
    </rPh>
    <rPh sb="135" eb="140">
      <t>ギョウムコウリツカ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</si>
</sst>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800]dddd\,\ mmmm\ dd\,\ yyyy"/>
    <numFmt numFmtId="177" formatCode="0_ "/>
    <numFmt numFmtId="178" formatCode="0_);[Red]\(0\)"/>
    <numFmt numFmtId="179" formatCode="m/d;@"/>
  </numFmts>
  <fonts count="23" x14ac:knownFonts="1">
    <font>
      <sz val="11"/>
      <color theme="1"/>
      <name val="Calibri"/>
      <scheme val="minor"/>
    </font>
    <font>
      <sz val="6"/>
      <name val="Calibri"/>
      <family val="3"/>
      <charset val="128"/>
      <scheme val="minor"/>
    </font>
    <font>
      <sz val="10"/>
      <color theme="1"/>
      <name val="游ゴシック"/>
      <family val="3"/>
      <charset val="128"/>
    </font>
    <font>
      <sz val="10"/>
      <name val="游ゴシック"/>
      <family val="3"/>
      <charset val="128"/>
    </font>
    <font>
      <sz val="10"/>
      <color rgb="FF000000"/>
      <name val="游ゴシック"/>
      <family val="3"/>
      <charset val="128"/>
    </font>
    <font>
      <sz val="10"/>
      <color theme="4"/>
      <name val="游ゴシック"/>
      <family val="3"/>
      <charset val="128"/>
    </font>
    <font>
      <sz val="11"/>
      <color theme="1"/>
      <name val="游ゴシック"/>
      <family val="3"/>
      <charset val="128"/>
    </font>
    <font>
      <sz val="11"/>
      <color rgb="FF1D1C1D"/>
      <name val="游ゴシック"/>
      <family val="3"/>
      <charset val="128"/>
    </font>
    <font>
      <b/>
      <sz val="11"/>
      <color theme="1"/>
      <name val="游ゴシック"/>
      <family val="3"/>
      <charset val="128"/>
    </font>
    <font>
      <sz val="11"/>
      <color theme="1"/>
      <name val="游明朝"/>
      <family val="2"/>
      <charset val="128"/>
    </font>
    <font>
      <sz val="11"/>
      <color theme="1"/>
      <name val="Meiryo UI"/>
      <family val="3"/>
      <charset val="128"/>
    </font>
    <font>
      <b/>
      <sz val="18"/>
      <color theme="1"/>
      <name val="Meiryo UI"/>
      <family val="3"/>
      <charset val="128"/>
    </font>
    <font>
      <sz val="6"/>
      <name val="游明朝"/>
      <family val="2"/>
      <charset val="128"/>
    </font>
    <font>
      <sz val="14"/>
      <color theme="1"/>
      <name val="Meiryo UI"/>
      <family val="3"/>
      <charset val="128"/>
    </font>
    <font>
      <b/>
      <sz val="14"/>
      <color theme="1"/>
      <name val="Meiryo UI"/>
      <family val="3"/>
      <charset val="128"/>
    </font>
    <font>
      <sz val="12"/>
      <color theme="1"/>
      <name val="Meiryo UI"/>
      <family val="3"/>
      <charset val="128"/>
    </font>
    <font>
      <sz val="9"/>
      <color rgb="FFFF0000"/>
      <name val="Meiryo UI"/>
      <family val="3"/>
      <charset val="128"/>
    </font>
    <font>
      <b/>
      <sz val="14"/>
      <name val="Meiryo UI"/>
      <family val="3"/>
      <charset val="128"/>
    </font>
    <font>
      <sz val="10"/>
      <color rgb="FFFF0000"/>
      <name val="Meiryo UI"/>
      <family val="3"/>
      <charset val="128"/>
    </font>
    <font>
      <sz val="11"/>
      <name val="Meiryo UI"/>
      <family val="3"/>
      <charset val="128"/>
    </font>
    <font>
      <b/>
      <sz val="11"/>
      <name val="Meiryo UI"/>
      <family val="3"/>
      <charset val="128"/>
    </font>
    <font>
      <b/>
      <sz val="9"/>
      <color rgb="FFFF0000"/>
      <name val="Meiryo UI"/>
      <family val="3"/>
      <charset val="128"/>
    </font>
    <font>
      <b/>
      <sz val="11"/>
      <color rgb="FFFF0000"/>
      <name val="Meiryo UI"/>
      <family val="3"/>
      <charset val="128"/>
    </font>
  </fonts>
  <fills count="7">
    <fill>
      <patternFill patternType="none"/>
    </fill>
    <fill>
      <patternFill patternType="gray125"/>
    </fill>
    <fill>
      <patternFill patternType="solid">
        <fgColor theme="0"/>
        <bgColor theme="0"/>
      </patternFill>
    </fill>
    <fill>
      <patternFill patternType="solid">
        <fgColor theme="0" tint="-4.9989318521683403E-2"/>
        <bgColor theme="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s>
  <borders count="59">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s>
  <cellStyleXfs count="2">
    <xf numFmtId="0" fontId="0" fillId="0" borderId="0"/>
    <xf numFmtId="0" fontId="9" fillId="0" borderId="1">
      <alignment vertical="center"/>
    </xf>
  </cellStyleXfs>
  <cellXfs count="139">
    <xf numFmtId="0" fontId="0" fillId="0" borderId="0" xfId="0"/>
    <xf numFmtId="0" fontId="2" fillId="2" borderId="1" xfId="0" applyFont="1" applyFill="1" applyBorder="1"/>
    <xf numFmtId="0" fontId="2" fillId="0" borderId="0" xfId="0" applyFont="1"/>
    <xf numFmtId="0" fontId="2" fillId="2" borderId="1" xfId="0" applyFont="1" applyFill="1" applyBorder="1" applyAlignment="1">
      <alignment vertical="center"/>
    </xf>
    <xf numFmtId="0" fontId="2" fillId="2" borderId="1" xfId="0" applyFont="1" applyFill="1" applyBorder="1" applyAlignment="1">
      <alignment horizontal="center"/>
    </xf>
    <xf numFmtId="0" fontId="4" fillId="2" borderId="1" xfId="0" applyFont="1" applyFill="1" applyBorder="1"/>
    <xf numFmtId="0" fontId="2" fillId="2" borderId="1" xfId="0" applyFont="1" applyFill="1" applyBorder="1" applyAlignment="1">
      <alignment vertical="top"/>
    </xf>
    <xf numFmtId="0" fontId="6" fillId="0" borderId="0" xfId="0" applyFont="1"/>
    <xf numFmtId="0" fontId="7" fillId="0" borderId="0" xfId="0" applyFont="1"/>
    <xf numFmtId="0" fontId="8" fillId="0" borderId="0" xfId="0" applyFont="1"/>
    <xf numFmtId="0" fontId="5" fillId="2" borderId="1" xfId="0" applyFont="1" applyFill="1" applyBorder="1"/>
    <xf numFmtId="0" fontId="10" fillId="0" borderId="1" xfId="1" applyFont="1">
      <alignment vertical="center"/>
    </xf>
    <xf numFmtId="0" fontId="10" fillId="0" borderId="1" xfId="1" applyFont="1" applyAlignment="1">
      <alignment horizontal="left" vertical="center"/>
    </xf>
    <xf numFmtId="176" fontId="10" fillId="0" borderId="1" xfId="1" applyNumberFormat="1" applyFont="1">
      <alignment vertical="center"/>
    </xf>
    <xf numFmtId="0" fontId="11" fillId="0" borderId="1" xfId="1" applyFont="1" applyAlignment="1">
      <alignment horizontal="left" vertical="center"/>
    </xf>
    <xf numFmtId="0" fontId="13" fillId="0" borderId="1" xfId="1" applyFont="1" applyAlignment="1">
      <alignment vertical="top"/>
    </xf>
    <xf numFmtId="0" fontId="14" fillId="5" borderId="45" xfId="1" applyFont="1" applyFill="1" applyBorder="1" applyAlignment="1">
      <alignment horizontal="left" vertical="center"/>
    </xf>
    <xf numFmtId="0" fontId="14" fillId="5" borderId="22" xfId="1" applyFont="1" applyFill="1" applyBorder="1" applyAlignment="1">
      <alignment horizontal="left" vertical="center"/>
    </xf>
    <xf numFmtId="0" fontId="14" fillId="5" borderId="33" xfId="1" applyFont="1" applyFill="1" applyBorder="1" applyAlignment="1">
      <alignment horizontal="left" vertical="center"/>
    </xf>
    <xf numFmtId="0" fontId="16" fillId="0" borderId="1" xfId="1" applyFont="1">
      <alignment vertical="center"/>
    </xf>
    <xf numFmtId="0" fontId="14" fillId="0" borderId="1" xfId="1" applyFont="1" applyAlignment="1">
      <alignment horizontal="left" vertical="center"/>
    </xf>
    <xf numFmtId="176" fontId="15" fillId="0" borderId="1" xfId="1" applyNumberFormat="1" applyFont="1" applyAlignment="1">
      <alignment horizontal="left" vertical="top"/>
    </xf>
    <xf numFmtId="0" fontId="17" fillId="5" borderId="25" xfId="1" applyFont="1" applyFill="1" applyBorder="1" applyAlignment="1">
      <alignment horizontal="center" vertical="center" wrapText="1"/>
    </xf>
    <xf numFmtId="0" fontId="17" fillId="5" borderId="13" xfId="1" applyFont="1" applyFill="1" applyBorder="1" applyAlignment="1">
      <alignment horizontal="center" vertical="center"/>
    </xf>
    <xf numFmtId="0" fontId="17" fillId="5" borderId="26" xfId="1" applyFont="1" applyFill="1" applyBorder="1" applyAlignment="1">
      <alignment horizontal="center" vertical="center"/>
    </xf>
    <xf numFmtId="0" fontId="17" fillId="5" borderId="25" xfId="1" applyFont="1" applyFill="1" applyBorder="1" applyAlignment="1">
      <alignment horizontal="center" vertical="center"/>
    </xf>
    <xf numFmtId="0" fontId="10" fillId="0" borderId="56" xfId="1" applyFont="1" applyBorder="1">
      <alignment vertical="center"/>
    </xf>
    <xf numFmtId="0" fontId="10" fillId="0" borderId="56" xfId="1" applyFont="1" applyBorder="1" applyAlignment="1">
      <alignment horizontal="left" vertical="center"/>
    </xf>
    <xf numFmtId="176" fontId="10" fillId="0" borderId="25" xfId="1" applyNumberFormat="1" applyFont="1" applyBorder="1" applyAlignment="1">
      <alignment horizontal="left" vertical="center"/>
    </xf>
    <xf numFmtId="176" fontId="10" fillId="0" borderId="13" xfId="1" applyNumberFormat="1" applyFont="1" applyBorder="1" applyAlignment="1">
      <alignment horizontal="left" vertical="center"/>
    </xf>
    <xf numFmtId="178" fontId="10" fillId="6" borderId="26" xfId="1" applyNumberFormat="1" applyFont="1" applyFill="1" applyBorder="1" applyAlignment="1">
      <alignment horizontal="right" vertical="center"/>
    </xf>
    <xf numFmtId="177" fontId="10" fillId="6" borderId="26" xfId="1" applyNumberFormat="1" applyFont="1" applyFill="1" applyBorder="1" applyAlignment="1">
      <alignment horizontal="right" vertical="center"/>
    </xf>
    <xf numFmtId="177" fontId="10" fillId="6" borderId="56" xfId="1" applyNumberFormat="1" applyFont="1" applyFill="1" applyBorder="1" applyAlignment="1">
      <alignment horizontal="right" vertical="center"/>
    </xf>
    <xf numFmtId="14" fontId="10" fillId="0" borderId="56" xfId="1" applyNumberFormat="1" applyFont="1" applyBorder="1" applyAlignment="1">
      <alignment horizontal="left" vertical="center"/>
    </xf>
    <xf numFmtId="0" fontId="19" fillId="0" borderId="56" xfId="1" applyFont="1" applyBorder="1">
      <alignment vertical="center"/>
    </xf>
    <xf numFmtId="176" fontId="19" fillId="0" borderId="25" xfId="1" applyNumberFormat="1" applyFont="1" applyBorder="1" applyAlignment="1">
      <alignment horizontal="left" vertical="center"/>
    </xf>
    <xf numFmtId="0" fontId="19" fillId="0" borderId="57" xfId="1" applyFont="1" applyBorder="1">
      <alignment vertical="center"/>
    </xf>
    <xf numFmtId="0" fontId="10" fillId="0" borderId="57" xfId="1" applyFont="1" applyBorder="1" applyAlignment="1">
      <alignment horizontal="left" vertical="center"/>
    </xf>
    <xf numFmtId="176" fontId="19" fillId="0" borderId="33" xfId="1" applyNumberFormat="1" applyFont="1" applyBorder="1" applyAlignment="1">
      <alignment horizontal="left" vertical="center"/>
    </xf>
    <xf numFmtId="176" fontId="10" fillId="0" borderId="34" xfId="1" applyNumberFormat="1" applyFont="1" applyBorder="1" applyAlignment="1">
      <alignment horizontal="left" vertical="center"/>
    </xf>
    <xf numFmtId="178" fontId="10" fillId="6" borderId="35" xfId="1" applyNumberFormat="1" applyFont="1" applyFill="1" applyBorder="1" applyAlignment="1">
      <alignment horizontal="right" vertical="center"/>
    </xf>
    <xf numFmtId="176" fontId="10" fillId="0" borderId="33" xfId="1" applyNumberFormat="1" applyFont="1" applyBorder="1" applyAlignment="1">
      <alignment horizontal="left" vertical="center"/>
    </xf>
    <xf numFmtId="177" fontId="10" fillId="6" borderId="35" xfId="1" applyNumberFormat="1" applyFont="1" applyFill="1" applyBorder="1" applyAlignment="1">
      <alignment horizontal="right" vertical="center"/>
    </xf>
    <xf numFmtId="177" fontId="10" fillId="6" borderId="57" xfId="1" applyNumberFormat="1" applyFont="1" applyFill="1" applyBorder="1" applyAlignment="1">
      <alignment horizontal="right" vertical="center"/>
    </xf>
    <xf numFmtId="14" fontId="10" fillId="0" borderId="57" xfId="1" applyNumberFormat="1" applyFont="1" applyBorder="1" applyAlignment="1">
      <alignment horizontal="left" vertical="center"/>
    </xf>
    <xf numFmtId="177" fontId="10" fillId="0" borderId="1" xfId="1" applyNumberFormat="1" applyFont="1">
      <alignment vertical="center"/>
    </xf>
    <xf numFmtId="0" fontId="10" fillId="0" borderId="58" xfId="1" applyFont="1" applyBorder="1" applyAlignment="1">
      <alignment horizontal="left" vertical="center"/>
    </xf>
    <xf numFmtId="0" fontId="10" fillId="0" borderId="54" xfId="1" applyFont="1" applyBorder="1" applyAlignment="1">
      <alignment horizontal="left" vertical="center"/>
    </xf>
    <xf numFmtId="0" fontId="10" fillId="0" borderId="1" xfId="1" applyFont="1" applyAlignment="1">
      <alignment horizontal="center" vertical="center"/>
    </xf>
    <xf numFmtId="179" fontId="10" fillId="0" borderId="1" xfId="1" applyNumberFormat="1" applyFont="1" applyAlignment="1">
      <alignment horizontal="right" vertical="center"/>
    </xf>
    <xf numFmtId="0" fontId="21" fillId="0" borderId="1" xfId="1" applyFont="1">
      <alignment vertical="center"/>
    </xf>
    <xf numFmtId="0" fontId="10" fillId="0" borderId="57" xfId="1" applyFont="1" applyBorder="1">
      <alignment vertical="center"/>
    </xf>
    <xf numFmtId="0" fontId="22" fillId="0" borderId="1" xfId="1" applyFont="1" applyAlignment="1">
      <alignment horizontal="left" vertical="center"/>
    </xf>
    <xf numFmtId="177" fontId="15" fillId="6" borderId="46" xfId="1" applyNumberFormat="1" applyFont="1" applyFill="1" applyBorder="1" applyAlignment="1">
      <alignment horizontal="left" vertical="top"/>
    </xf>
    <xf numFmtId="177" fontId="15" fillId="6" borderId="47" xfId="1" applyNumberFormat="1" applyFont="1" applyFill="1" applyBorder="1" applyAlignment="1">
      <alignment horizontal="left" vertical="top"/>
    </xf>
    <xf numFmtId="177" fontId="15" fillId="6" borderId="48" xfId="1" applyNumberFormat="1" applyFont="1" applyFill="1" applyBorder="1" applyAlignment="1">
      <alignment horizontal="left" vertical="top"/>
    </xf>
    <xf numFmtId="0" fontId="15" fillId="0" borderId="46" xfId="1" applyFont="1" applyBorder="1" applyAlignment="1">
      <alignment horizontal="left" vertical="top"/>
    </xf>
    <xf numFmtId="0" fontId="15" fillId="0" borderId="47" xfId="1" applyFont="1" applyBorder="1" applyAlignment="1">
      <alignment horizontal="left" vertical="top"/>
    </xf>
    <xf numFmtId="0" fontId="15" fillId="0" borderId="48" xfId="1" applyFont="1" applyBorder="1" applyAlignment="1">
      <alignment horizontal="left" vertical="top"/>
    </xf>
    <xf numFmtId="176" fontId="15" fillId="0" borderId="49" xfId="1" applyNumberFormat="1" applyFont="1" applyBorder="1" applyAlignment="1">
      <alignment horizontal="left" vertical="top"/>
    </xf>
    <xf numFmtId="176" fontId="15" fillId="0" borderId="50" xfId="1" applyNumberFormat="1" applyFont="1" applyBorder="1" applyAlignment="1">
      <alignment horizontal="left" vertical="top"/>
    </xf>
    <xf numFmtId="176" fontId="15" fillId="0" borderId="51" xfId="1" applyNumberFormat="1" applyFont="1" applyBorder="1" applyAlignment="1">
      <alignment horizontal="left" vertical="top"/>
    </xf>
    <xf numFmtId="176" fontId="15" fillId="0" borderId="52" xfId="1" applyNumberFormat="1" applyFont="1" applyBorder="1" applyAlignment="1">
      <alignment horizontal="left" vertical="top"/>
    </xf>
    <xf numFmtId="176" fontId="15" fillId="0" borderId="53" xfId="1" applyNumberFormat="1" applyFont="1" applyBorder="1" applyAlignment="1">
      <alignment horizontal="left" vertical="top"/>
    </xf>
    <xf numFmtId="176" fontId="15" fillId="0" borderId="54" xfId="1" applyNumberFormat="1" applyFont="1" applyBorder="1" applyAlignment="1">
      <alignment horizontal="left" vertical="top"/>
    </xf>
    <xf numFmtId="0" fontId="17" fillId="5" borderId="55" xfId="1" applyFont="1" applyFill="1" applyBorder="1" applyAlignment="1">
      <alignment horizontal="center" vertical="center" wrapText="1"/>
    </xf>
    <xf numFmtId="0" fontId="17" fillId="5" borderId="56" xfId="1" applyFont="1" applyFill="1" applyBorder="1" applyAlignment="1">
      <alignment horizontal="center" vertical="center" wrapText="1"/>
    </xf>
    <xf numFmtId="0" fontId="16" fillId="0" borderId="1" xfId="1" applyFont="1" applyAlignment="1">
      <alignment horizontal="center" vertical="center"/>
    </xf>
    <xf numFmtId="0" fontId="17" fillId="5" borderId="55" xfId="1" applyFont="1" applyFill="1" applyBorder="1" applyAlignment="1">
      <alignment horizontal="center" vertical="center"/>
    </xf>
    <xf numFmtId="0" fontId="17" fillId="5" borderId="56" xfId="1" applyFont="1" applyFill="1" applyBorder="1" applyAlignment="1">
      <alignment horizontal="center" vertical="center"/>
    </xf>
    <xf numFmtId="0" fontId="14" fillId="5" borderId="22" xfId="1" applyFont="1" applyFill="1" applyBorder="1" applyAlignment="1">
      <alignment horizontal="center" vertical="center"/>
    </xf>
    <xf numFmtId="0" fontId="14" fillId="5" borderId="23" xfId="1" applyFont="1" applyFill="1" applyBorder="1" applyAlignment="1">
      <alignment horizontal="center" vertical="center"/>
    </xf>
    <xf numFmtId="0" fontId="14" fillId="5" borderId="24" xfId="1" applyFont="1" applyFill="1" applyBorder="1" applyAlignment="1">
      <alignment horizontal="center" vertical="center"/>
    </xf>
    <xf numFmtId="0" fontId="5" fillId="2" borderId="13" xfId="0" applyFont="1" applyFill="1" applyBorder="1" applyAlignment="1">
      <alignment vertical="center"/>
    </xf>
    <xf numFmtId="0" fontId="5" fillId="2" borderId="26" xfId="0" applyFont="1" applyFill="1" applyBorder="1" applyAlignment="1">
      <alignment vertical="center"/>
    </xf>
    <xf numFmtId="0" fontId="4" fillId="3" borderId="25" xfId="0" applyFont="1" applyFill="1" applyBorder="1" applyAlignment="1">
      <alignment vertical="center"/>
    </xf>
    <xf numFmtId="0" fontId="3" fillId="4" borderId="13" xfId="0" applyFont="1" applyFill="1" applyBorder="1" applyAlignment="1"/>
    <xf numFmtId="0" fontId="2" fillId="3" borderId="25" xfId="0" applyFont="1" applyFill="1" applyBorder="1" applyAlignment="1">
      <alignment vertical="center"/>
    </xf>
    <xf numFmtId="0" fontId="5" fillId="0" borderId="13" xfId="0" applyFont="1" applyBorder="1" applyAlignment="1"/>
    <xf numFmtId="0" fontId="5" fillId="0" borderId="26" xfId="0" applyFont="1" applyBorder="1" applyAlignment="1"/>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39" xfId="0" applyFont="1" applyFill="1" applyBorder="1" applyAlignment="1">
      <alignment horizontal="center" vertical="center"/>
    </xf>
    <xf numFmtId="0" fontId="4" fillId="3" borderId="27" xfId="0" applyFont="1" applyFill="1" applyBorder="1" applyAlignment="1">
      <alignment horizontal="left" vertical="center"/>
    </xf>
    <xf numFmtId="0" fontId="4" fillId="3" borderId="15" xfId="0" applyFont="1" applyFill="1" applyBorder="1" applyAlignment="1">
      <alignment horizontal="left" vertical="center"/>
    </xf>
    <xf numFmtId="0" fontId="4" fillId="3" borderId="29" xfId="0" applyFont="1" applyFill="1" applyBorder="1" applyAlignment="1">
      <alignment horizontal="left" vertical="center"/>
    </xf>
    <xf numFmtId="0" fontId="4" fillId="3" borderId="17" xfId="0" applyFont="1" applyFill="1" applyBorder="1" applyAlignment="1">
      <alignment horizontal="left" vertical="center"/>
    </xf>
    <xf numFmtId="0" fontId="4" fillId="3" borderId="31" xfId="0" applyFont="1" applyFill="1" applyBorder="1" applyAlignment="1">
      <alignment horizontal="left" vertical="center"/>
    </xf>
    <xf numFmtId="0" fontId="4" fillId="3" borderId="19" xfId="0" applyFont="1" applyFill="1" applyBorder="1" applyAlignment="1">
      <alignment horizontal="left" vertical="center"/>
    </xf>
    <xf numFmtId="0" fontId="5" fillId="2" borderId="14" xfId="0" applyFont="1" applyFill="1" applyBorder="1" applyAlignment="1">
      <alignment horizontal="left" vertical="top" wrapText="1"/>
    </xf>
    <xf numFmtId="0" fontId="5" fillId="2" borderId="20" xfId="0" applyFont="1" applyFill="1" applyBorder="1" applyAlignment="1">
      <alignment horizontal="left" vertical="top"/>
    </xf>
    <xf numFmtId="0" fontId="5" fillId="2" borderId="28" xfId="0" applyFont="1" applyFill="1" applyBorder="1" applyAlignment="1">
      <alignment horizontal="left" vertical="top"/>
    </xf>
    <xf numFmtId="0" fontId="5" fillId="2" borderId="16" xfId="0" applyFont="1" applyFill="1" applyBorder="1" applyAlignment="1">
      <alignment horizontal="left" vertical="top"/>
    </xf>
    <xf numFmtId="0" fontId="5" fillId="2" borderId="1" xfId="0" applyFont="1" applyFill="1" applyBorder="1" applyAlignment="1">
      <alignment horizontal="left" vertical="top"/>
    </xf>
    <xf numFmtId="0" fontId="5" fillId="2" borderId="30" xfId="0" applyFont="1" applyFill="1" applyBorder="1" applyAlignment="1">
      <alignment horizontal="left" vertical="top"/>
    </xf>
    <xf numFmtId="0" fontId="5" fillId="2" borderId="18" xfId="0" applyFont="1" applyFill="1" applyBorder="1" applyAlignment="1">
      <alignment horizontal="left" vertical="top"/>
    </xf>
    <xf numFmtId="0" fontId="5" fillId="2" borderId="21" xfId="0" applyFont="1" applyFill="1" applyBorder="1" applyAlignment="1">
      <alignment horizontal="left" vertical="top"/>
    </xf>
    <xf numFmtId="0" fontId="5" fillId="2" borderId="32" xfId="0" applyFont="1" applyFill="1" applyBorder="1" applyAlignment="1">
      <alignment horizontal="left" vertical="top"/>
    </xf>
    <xf numFmtId="0" fontId="5" fillId="2" borderId="14" xfId="0" applyFont="1" applyFill="1" applyBorder="1" applyAlignment="1">
      <alignment horizontal="left" vertical="top"/>
    </xf>
    <xf numFmtId="0" fontId="4" fillId="3" borderId="2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9"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3" borderId="31"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40"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5" fillId="2" borderId="36" xfId="0" applyFont="1" applyFill="1" applyBorder="1" applyAlignment="1">
      <alignment horizontal="left" vertical="top" wrapText="1"/>
    </xf>
    <xf numFmtId="0" fontId="5" fillId="2" borderId="36" xfId="0" applyFont="1" applyFill="1" applyBorder="1" applyAlignment="1">
      <alignment horizontal="left" vertical="top"/>
    </xf>
    <xf numFmtId="0" fontId="5" fillId="2" borderId="41" xfId="0" applyFont="1" applyFill="1" applyBorder="1" applyAlignment="1">
      <alignment horizontal="left" vertical="top"/>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3" borderId="22" xfId="0" applyFont="1" applyFill="1" applyBorder="1" applyAlignment="1">
      <alignment vertical="center"/>
    </xf>
    <xf numFmtId="0" fontId="3" fillId="4" borderId="23" xfId="0" applyFont="1" applyFill="1" applyBorder="1" applyAlignment="1"/>
    <xf numFmtId="0" fontId="2" fillId="2" borderId="23" xfId="0" applyFont="1" applyFill="1" applyBorder="1" applyAlignment="1">
      <alignment vertical="center"/>
    </xf>
    <xf numFmtId="0" fontId="3" fillId="0" borderId="23" xfId="0" applyFont="1" applyBorder="1" applyAlignment="1"/>
    <xf numFmtId="0" fontId="3" fillId="0" borderId="24" xfId="0" applyFont="1" applyBorder="1" applyAlignment="1"/>
    <xf numFmtId="0" fontId="2" fillId="3" borderId="33" xfId="0" applyFont="1" applyFill="1" applyBorder="1" applyAlignment="1">
      <alignment vertical="center"/>
    </xf>
    <xf numFmtId="0" fontId="3" fillId="4" borderId="34" xfId="0" applyFont="1" applyFill="1" applyBorder="1" applyAlignment="1"/>
    <xf numFmtId="0" fontId="2" fillId="2" borderId="34" xfId="0" applyFont="1" applyFill="1" applyBorder="1" applyAlignment="1">
      <alignment vertical="center"/>
    </xf>
    <xf numFmtId="0" fontId="2" fillId="2" borderId="35" xfId="0" applyFont="1" applyFill="1" applyBorder="1" applyAlignment="1">
      <alignment vertical="center"/>
    </xf>
    <xf numFmtId="0" fontId="4" fillId="3" borderId="42" xfId="0" applyFont="1" applyFill="1" applyBorder="1" applyAlignment="1">
      <alignment horizontal="left" vertical="center" wrapText="1"/>
    </xf>
    <xf numFmtId="0" fontId="4" fillId="3" borderId="43" xfId="0" applyFont="1" applyFill="1" applyBorder="1" applyAlignment="1">
      <alignment horizontal="left" vertical="center" wrapText="1"/>
    </xf>
    <xf numFmtId="0" fontId="5" fillId="2" borderId="43" xfId="0" applyFont="1" applyFill="1" applyBorder="1" applyAlignment="1">
      <alignment horizontal="left" vertical="top"/>
    </xf>
    <xf numFmtId="0" fontId="5" fillId="2" borderId="44" xfId="0" applyFont="1" applyFill="1" applyBorder="1" applyAlignment="1">
      <alignment horizontal="left" vertical="top"/>
    </xf>
    <xf numFmtId="0" fontId="21" fillId="0" borderId="1" xfId="1" applyFont="1" applyAlignment="1">
      <alignment horizontal="center" vertical="center"/>
    </xf>
    <xf numFmtId="0" fontId="17" fillId="5" borderId="51" xfId="1" applyFont="1" applyFill="1" applyBorder="1" applyAlignment="1">
      <alignment horizontal="center" vertical="center" wrapText="1"/>
    </xf>
    <xf numFmtId="0" fontId="17" fillId="5" borderId="58" xfId="1" applyFont="1" applyFill="1" applyBorder="1" applyAlignment="1">
      <alignment horizontal="center" vertical="center" wrapText="1"/>
    </xf>
    <xf numFmtId="0" fontId="3" fillId="2" borderId="13" xfId="0" applyFont="1" applyFill="1" applyBorder="1" applyAlignment="1">
      <alignment vertical="center"/>
    </xf>
  </cellXfs>
  <cellStyles count="2">
    <cellStyle name="標準" xfId="0" builtinId="0"/>
    <cellStyle name="標準 2" xfId="1" xr:uid="{10D93726-1DE3-4D1A-A545-9AEA70F5E4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12</xdr:col>
      <xdr:colOff>0</xdr:colOff>
      <xdr:row>43</xdr:row>
      <xdr:rowOff>0</xdr:rowOff>
    </xdr:from>
    <xdr:ext cx="304800" cy="304800"/>
    <xdr:sp macro="" textlink="">
      <xdr:nvSpPr>
        <xdr:cNvPr id="3"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00000000-0008-0000-01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49</xdr:row>
      <xdr:rowOff>0</xdr:rowOff>
    </xdr:from>
    <xdr:ext cx="304800" cy="304800"/>
    <xdr:sp macro="" textlink="">
      <xdr:nvSpPr>
        <xdr:cNvPr id="5"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4326CCE4-307E-4A2A-95CF-AFF2BE3CE973}"/>
            </a:ext>
          </a:extLst>
        </xdr:cNvPr>
        <xdr:cNvSpPr/>
      </xdr:nvSpPr>
      <xdr:spPr>
        <a:xfrm>
          <a:off x="7394713" y="7335078"/>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55</xdr:row>
      <xdr:rowOff>0</xdr:rowOff>
    </xdr:from>
    <xdr:ext cx="304800" cy="304800"/>
    <xdr:sp macro="" textlink="">
      <xdr:nvSpPr>
        <xdr:cNvPr id="6"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2A08BA4B-70A6-4221-8506-2FC632B74B41}"/>
            </a:ext>
          </a:extLst>
        </xdr:cNvPr>
        <xdr:cNvSpPr/>
      </xdr:nvSpPr>
      <xdr:spPr>
        <a:xfrm>
          <a:off x="7394713" y="8779565"/>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37</xdr:row>
      <xdr:rowOff>0</xdr:rowOff>
    </xdr:from>
    <xdr:ext cx="304800" cy="304800"/>
    <xdr:sp macro="" textlink="">
      <xdr:nvSpPr>
        <xdr:cNvPr id="2"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2F3E7E60-96B4-43B5-B581-A2423BFCDEC4}"/>
            </a:ext>
          </a:extLst>
        </xdr:cNvPr>
        <xdr:cNvSpPr/>
      </xdr:nvSpPr>
      <xdr:spPr>
        <a:xfrm>
          <a:off x="7553739" y="8724348"/>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3266-09E4-4C7A-AF7C-8F3AF80AF75C}">
  <dimension ref="A1:C21"/>
  <sheetViews>
    <sheetView workbookViewId="0"/>
  </sheetViews>
  <sheetFormatPr defaultColWidth="3.26953125" defaultRowHeight="18" x14ac:dyDescent="0.55000000000000004"/>
  <cols>
    <col min="1" max="16384" width="3.26953125" style="7"/>
  </cols>
  <sheetData>
    <row r="1" spans="1:3" x14ac:dyDescent="0.55000000000000004">
      <c r="A1" s="9" t="s">
        <v>0</v>
      </c>
    </row>
    <row r="2" spans="1:3" x14ac:dyDescent="0.55000000000000004">
      <c r="A2" s="8" t="s">
        <v>1</v>
      </c>
    </row>
    <row r="3" spans="1:3" x14ac:dyDescent="0.55000000000000004">
      <c r="A3" s="8" t="s">
        <v>2</v>
      </c>
    </row>
    <row r="5" spans="1:3" x14ac:dyDescent="0.55000000000000004">
      <c r="A5" s="8"/>
      <c r="B5" s="7" t="s">
        <v>3</v>
      </c>
    </row>
    <row r="6" spans="1:3" x14ac:dyDescent="0.55000000000000004">
      <c r="B6" s="8" t="s">
        <v>4</v>
      </c>
    </row>
    <row r="7" spans="1:3" x14ac:dyDescent="0.55000000000000004">
      <c r="B7" s="8"/>
    </row>
    <row r="8" spans="1:3" x14ac:dyDescent="0.55000000000000004">
      <c r="B8" s="8" t="s">
        <v>5</v>
      </c>
    </row>
    <row r="9" spans="1:3" x14ac:dyDescent="0.55000000000000004">
      <c r="B9" s="8" t="s">
        <v>6</v>
      </c>
    </row>
    <row r="10" spans="1:3" x14ac:dyDescent="0.55000000000000004">
      <c r="B10" s="8" t="s">
        <v>7</v>
      </c>
    </row>
    <row r="11" spans="1:3" x14ac:dyDescent="0.55000000000000004">
      <c r="B11" s="8"/>
    </row>
    <row r="12" spans="1:3" x14ac:dyDescent="0.55000000000000004">
      <c r="B12" s="8" t="s">
        <v>8</v>
      </c>
    </row>
    <row r="13" spans="1:3" x14ac:dyDescent="0.55000000000000004">
      <c r="B13" s="8" t="s">
        <v>9</v>
      </c>
    </row>
    <row r="14" spans="1:3" x14ac:dyDescent="0.55000000000000004">
      <c r="C14" s="8" t="s">
        <v>10</v>
      </c>
    </row>
    <row r="15" spans="1:3" x14ac:dyDescent="0.55000000000000004">
      <c r="C15" s="8" t="s">
        <v>11</v>
      </c>
    </row>
    <row r="16" spans="1:3" x14ac:dyDescent="0.55000000000000004">
      <c r="C16" s="8" t="s">
        <v>12</v>
      </c>
    </row>
    <row r="17" spans="2:3" x14ac:dyDescent="0.55000000000000004">
      <c r="C17" s="8" t="s">
        <v>13</v>
      </c>
    </row>
    <row r="18" spans="2:3" x14ac:dyDescent="0.55000000000000004">
      <c r="C18" s="8" t="s">
        <v>14</v>
      </c>
    </row>
    <row r="19" spans="2:3" x14ac:dyDescent="0.55000000000000004">
      <c r="C19" s="8" t="s">
        <v>15</v>
      </c>
    </row>
    <row r="20" spans="2:3" x14ac:dyDescent="0.55000000000000004">
      <c r="C20" s="8" t="s">
        <v>16</v>
      </c>
    </row>
    <row r="21" spans="2:3" x14ac:dyDescent="0.55000000000000004">
      <c r="B21" s="8" t="s">
        <v>17</v>
      </c>
    </row>
  </sheetData>
  <phoneticPr fontId="1"/>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2709-5DD7-4FA7-90CD-F4DD16261509}">
  <sheetPr>
    <pageSetUpPr fitToPage="1"/>
  </sheetPr>
  <dimension ref="A1:L25"/>
  <sheetViews>
    <sheetView showGridLines="0" topLeftCell="A4" zoomScale="85" zoomScaleNormal="85" workbookViewId="0">
      <selection activeCell="D22" sqref="D22"/>
    </sheetView>
  </sheetViews>
  <sheetFormatPr defaultColWidth="6.453125" defaultRowHeight="15" x14ac:dyDescent="0.35"/>
  <cols>
    <col min="1" max="1" width="6.81640625" style="11" customWidth="1"/>
    <col min="2" max="2" width="57.81640625" style="12" customWidth="1"/>
    <col min="3" max="3" width="15.81640625" style="13" bestFit="1" customWidth="1"/>
    <col min="4" max="5" width="19" style="13" customWidth="1"/>
    <col min="6" max="6" width="8.7265625" style="13" customWidth="1"/>
    <col min="7" max="7" width="19" style="13" customWidth="1"/>
    <col min="8" max="8" width="19" style="45" customWidth="1"/>
    <col min="9" max="9" width="8.7265625" style="45" customWidth="1"/>
    <col min="10" max="10" width="26.1796875" style="11" customWidth="1"/>
    <col min="11" max="11" width="25" style="11" bestFit="1" customWidth="1"/>
    <col min="12" max="12" width="80.7265625" style="11" customWidth="1"/>
    <col min="13" max="16384" width="6.453125" style="11"/>
  </cols>
  <sheetData>
    <row r="1" spans="1:12" x14ac:dyDescent="0.35">
      <c r="H1" s="13"/>
      <c r="I1" s="13"/>
    </row>
    <row r="2" spans="1:12" ht="24.5" x14ac:dyDescent="0.35">
      <c r="B2" s="14" t="s">
        <v>38</v>
      </c>
      <c r="C2" s="11"/>
      <c r="D2" s="11"/>
      <c r="E2" s="11"/>
      <c r="F2" s="11"/>
      <c r="G2" s="11"/>
      <c r="H2" s="11"/>
      <c r="I2" s="11"/>
    </row>
    <row r="3" spans="1:12" ht="15" customHeight="1" thickBot="1" x14ac:dyDescent="0.4">
      <c r="B3" s="14"/>
      <c r="C3" s="11"/>
      <c r="D3" s="11"/>
      <c r="E3" s="11"/>
      <c r="F3" s="11"/>
      <c r="G3" s="11"/>
      <c r="H3" s="11"/>
      <c r="I3" s="11"/>
    </row>
    <row r="4" spans="1:12" ht="20.149999999999999" customHeight="1" thickBot="1" x14ac:dyDescent="0.4">
      <c r="A4" s="15"/>
      <c r="B4" s="16" t="s">
        <v>39</v>
      </c>
      <c r="C4" s="56" t="s">
        <v>40</v>
      </c>
      <c r="D4" s="57"/>
      <c r="E4" s="57"/>
      <c r="F4" s="57"/>
      <c r="G4" s="58"/>
      <c r="H4" s="11"/>
      <c r="I4" s="11"/>
    </row>
    <row r="5" spans="1:12" ht="20.149999999999999" customHeight="1" x14ac:dyDescent="0.35">
      <c r="A5" s="15"/>
      <c r="B5" s="17" t="s">
        <v>41</v>
      </c>
      <c r="C5" s="59">
        <v>45901</v>
      </c>
      <c r="D5" s="60"/>
      <c r="E5" s="60"/>
      <c r="F5" s="60"/>
      <c r="G5" s="61"/>
      <c r="H5" s="11"/>
      <c r="I5" s="11"/>
    </row>
    <row r="6" spans="1:12" ht="20.149999999999999" customHeight="1" thickBot="1" x14ac:dyDescent="0.4">
      <c r="A6" s="15"/>
      <c r="B6" s="18" t="s">
        <v>42</v>
      </c>
      <c r="C6" s="62">
        <v>45930</v>
      </c>
      <c r="D6" s="63"/>
      <c r="E6" s="63"/>
      <c r="F6" s="63"/>
      <c r="G6" s="64"/>
      <c r="H6" s="11"/>
      <c r="I6" s="11"/>
    </row>
    <row r="7" spans="1:12" ht="20.149999999999999" customHeight="1" x14ac:dyDescent="0.35">
      <c r="A7" s="15"/>
      <c r="B7" s="17" t="s">
        <v>43</v>
      </c>
      <c r="C7" s="59">
        <v>45901</v>
      </c>
      <c r="D7" s="60"/>
      <c r="E7" s="60"/>
      <c r="F7" s="60"/>
      <c r="G7" s="61"/>
      <c r="H7" s="11"/>
      <c r="I7" s="11"/>
    </row>
    <row r="8" spans="1:12" ht="20.149999999999999" customHeight="1" thickBot="1" x14ac:dyDescent="0.4">
      <c r="A8" s="15"/>
      <c r="B8" s="18" t="s">
        <v>44</v>
      </c>
      <c r="C8" s="62">
        <v>45933</v>
      </c>
      <c r="D8" s="63"/>
      <c r="E8" s="63"/>
      <c r="F8" s="63"/>
      <c r="G8" s="64"/>
      <c r="H8" s="19"/>
      <c r="I8" s="19"/>
    </row>
    <row r="9" spans="1:12" ht="20.149999999999999" customHeight="1" thickBot="1" x14ac:dyDescent="0.4">
      <c r="A9" s="15"/>
      <c r="B9" s="16" t="s">
        <v>45</v>
      </c>
      <c r="C9" s="53">
        <f>NETWORKDAYS(C7,C8,祝日!$B$1:$B$16) - NETWORKDAYS(C5,C6,祝日!$B$1:$B$16)</f>
        <v>3</v>
      </c>
      <c r="D9" s="54"/>
      <c r="E9" s="54"/>
      <c r="F9" s="54"/>
      <c r="G9" s="55"/>
      <c r="H9" s="19" t="s">
        <v>46</v>
      </c>
      <c r="I9" s="19"/>
    </row>
    <row r="10" spans="1:12" ht="18" customHeight="1" x14ac:dyDescent="0.35">
      <c r="A10" s="15"/>
      <c r="B10" s="20"/>
      <c r="C10" s="21"/>
      <c r="D10" s="21"/>
      <c r="E10" s="21"/>
      <c r="F10" s="21"/>
      <c r="G10" s="21"/>
      <c r="H10" s="21"/>
      <c r="I10" s="21"/>
      <c r="J10" s="21"/>
    </row>
    <row r="11" spans="1:12" ht="18" customHeight="1" x14ac:dyDescent="0.35">
      <c r="A11" s="15"/>
      <c r="B11" s="20"/>
      <c r="C11" s="21"/>
      <c r="D11" s="21"/>
      <c r="E11" s="21"/>
      <c r="F11" s="21"/>
      <c r="G11" s="21"/>
      <c r="H11" s="21"/>
      <c r="I11" s="21"/>
      <c r="J11" s="21"/>
    </row>
    <row r="12" spans="1:12" ht="24.5" x14ac:dyDescent="0.35">
      <c r="B12" s="14" t="s">
        <v>47</v>
      </c>
      <c r="C12" s="11"/>
      <c r="D12" s="11"/>
      <c r="E12" s="11"/>
      <c r="F12" s="11"/>
      <c r="G12" s="11"/>
      <c r="H12" s="11"/>
      <c r="I12" s="11"/>
    </row>
    <row r="13" spans="1:12" ht="25" thickBot="1" x14ac:dyDescent="0.4">
      <c r="B13" s="14"/>
      <c r="C13" s="11"/>
      <c r="D13" s="11"/>
      <c r="E13" s="11"/>
      <c r="F13" s="19" t="s">
        <v>46</v>
      </c>
      <c r="G13" s="11"/>
      <c r="H13" s="11"/>
      <c r="I13" s="67" t="s">
        <v>46</v>
      </c>
      <c r="J13" s="67"/>
    </row>
    <row r="14" spans="1:12" ht="30" customHeight="1" x14ac:dyDescent="0.35">
      <c r="B14" s="68" t="s">
        <v>48</v>
      </c>
      <c r="C14" s="65" t="s">
        <v>49</v>
      </c>
      <c r="D14" s="70" t="s">
        <v>50</v>
      </c>
      <c r="E14" s="71"/>
      <c r="F14" s="72"/>
      <c r="G14" s="70" t="s">
        <v>51</v>
      </c>
      <c r="H14" s="71"/>
      <c r="I14" s="72"/>
      <c r="J14" s="65" t="s">
        <v>52</v>
      </c>
      <c r="K14" s="65" t="s">
        <v>53</v>
      </c>
      <c r="L14" s="65" t="s">
        <v>54</v>
      </c>
    </row>
    <row r="15" spans="1:12" ht="30" customHeight="1" x14ac:dyDescent="0.35">
      <c r="B15" s="69"/>
      <c r="C15" s="66"/>
      <c r="D15" s="22" t="s">
        <v>55</v>
      </c>
      <c r="E15" s="23" t="s">
        <v>56</v>
      </c>
      <c r="F15" s="24" t="s">
        <v>57</v>
      </c>
      <c r="G15" s="25" t="s">
        <v>58</v>
      </c>
      <c r="H15" s="23" t="s">
        <v>56</v>
      </c>
      <c r="I15" s="24" t="s">
        <v>57</v>
      </c>
      <c r="J15" s="66"/>
      <c r="K15" s="66"/>
      <c r="L15" s="66"/>
    </row>
    <row r="16" spans="1:12" ht="22" customHeight="1" x14ac:dyDescent="0.35">
      <c r="B16" s="26" t="s">
        <v>59</v>
      </c>
      <c r="C16" s="27"/>
      <c r="D16" s="28">
        <v>45901</v>
      </c>
      <c r="E16" s="29">
        <v>45905</v>
      </c>
      <c r="F16" s="30">
        <f>NETWORKDAYS(D16,E16,祝日!$B$1:$B$16)</f>
        <v>5</v>
      </c>
      <c r="G16" s="28">
        <v>45901</v>
      </c>
      <c r="H16" s="29">
        <v>45905</v>
      </c>
      <c r="I16" s="31">
        <f>NETWORKDAYS(G16,H16,祝日!$B$1:$B$16)</f>
        <v>5</v>
      </c>
      <c r="J16" s="32">
        <f>I16-F16</f>
        <v>0</v>
      </c>
      <c r="K16" s="33" t="s">
        <v>60</v>
      </c>
      <c r="L16" s="27"/>
    </row>
    <row r="17" spans="2:12" ht="22" customHeight="1" x14ac:dyDescent="0.35">
      <c r="B17" s="26" t="s">
        <v>61</v>
      </c>
      <c r="C17" s="27" t="s">
        <v>62</v>
      </c>
      <c r="D17" s="28">
        <v>45908</v>
      </c>
      <c r="E17" s="29">
        <v>45911</v>
      </c>
      <c r="F17" s="30">
        <f>NETWORKDAYS(D17,E17,祝日!$B$1:$B$16)</f>
        <v>4</v>
      </c>
      <c r="G17" s="28">
        <v>45908</v>
      </c>
      <c r="H17" s="29">
        <v>45911</v>
      </c>
      <c r="I17" s="31">
        <f>NETWORKDAYS(G17,H17,祝日!$B$1:$B$16)</f>
        <v>4</v>
      </c>
      <c r="J17" s="32">
        <f t="shared" ref="J17:J23" si="0">I17-F17</f>
        <v>0</v>
      </c>
      <c r="K17" s="33" t="s">
        <v>60</v>
      </c>
      <c r="L17" s="27"/>
    </row>
    <row r="18" spans="2:12" ht="22" customHeight="1" x14ac:dyDescent="0.35">
      <c r="B18" s="26" t="s">
        <v>63</v>
      </c>
      <c r="C18" s="27"/>
      <c r="D18" s="28">
        <v>45908</v>
      </c>
      <c r="E18" s="29">
        <v>45919</v>
      </c>
      <c r="F18" s="30">
        <f>NETWORKDAYS(D18,E18,祝日!$B$1:$B$16)</f>
        <v>10</v>
      </c>
      <c r="G18" s="28">
        <v>45908</v>
      </c>
      <c r="H18" s="29">
        <v>45925</v>
      </c>
      <c r="I18" s="31">
        <f>NETWORKDAYS(G18,H18,祝日!$B$1:$B$16)</f>
        <v>14</v>
      </c>
      <c r="J18" s="32">
        <f t="shared" si="0"/>
        <v>4</v>
      </c>
      <c r="K18" s="33" t="s">
        <v>60</v>
      </c>
      <c r="L18" s="27" t="s">
        <v>64</v>
      </c>
    </row>
    <row r="19" spans="2:12" ht="22" customHeight="1" x14ac:dyDescent="0.35">
      <c r="B19" s="26" t="s">
        <v>65</v>
      </c>
      <c r="C19" s="27"/>
      <c r="D19" s="28">
        <v>45919</v>
      </c>
      <c r="E19" s="29">
        <v>45919</v>
      </c>
      <c r="F19" s="30">
        <f>NETWORKDAYS(D19,E19,祝日!$B$1:$B$16)</f>
        <v>1</v>
      </c>
      <c r="G19" s="28">
        <v>45919</v>
      </c>
      <c r="H19" s="29">
        <v>45919</v>
      </c>
      <c r="I19" s="31">
        <f>NETWORKDAYS(G19,H19,祝日!$B$1:$B$16)</f>
        <v>1</v>
      </c>
      <c r="J19" s="32">
        <f t="shared" si="0"/>
        <v>0</v>
      </c>
      <c r="K19" s="33" t="s">
        <v>60</v>
      </c>
      <c r="L19" s="27"/>
    </row>
    <row r="20" spans="2:12" ht="22" customHeight="1" x14ac:dyDescent="0.35">
      <c r="B20" s="26" t="s">
        <v>66</v>
      </c>
      <c r="C20" s="27"/>
      <c r="D20" s="28">
        <v>45922</v>
      </c>
      <c r="E20" s="29">
        <v>45929</v>
      </c>
      <c r="F20" s="30">
        <f>NETWORKDAYS(D20,E20,祝日!$B$1:$B$16)</f>
        <v>6</v>
      </c>
      <c r="G20" s="28">
        <v>45926</v>
      </c>
      <c r="H20" s="29">
        <v>45932</v>
      </c>
      <c r="I20" s="31">
        <f>NETWORKDAYS(G20,H20,祝日!$B$1:$B$16)</f>
        <v>5</v>
      </c>
      <c r="J20" s="32">
        <f t="shared" si="0"/>
        <v>-1</v>
      </c>
      <c r="K20" s="33" t="s">
        <v>60</v>
      </c>
      <c r="L20" s="27" t="s">
        <v>67</v>
      </c>
    </row>
    <row r="21" spans="2:12" ht="22" customHeight="1" x14ac:dyDescent="0.35">
      <c r="B21" s="26" t="s">
        <v>68</v>
      </c>
      <c r="C21" s="27"/>
      <c r="D21" s="28">
        <v>45922</v>
      </c>
      <c r="E21" s="29">
        <v>45929</v>
      </c>
      <c r="F21" s="30">
        <f>NETWORKDAYS(D21,E21,祝日!$B$1:$B$16)</f>
        <v>6</v>
      </c>
      <c r="G21" s="28">
        <v>45926</v>
      </c>
      <c r="H21" s="29">
        <v>45932</v>
      </c>
      <c r="I21" s="31">
        <f>NETWORKDAYS(G21,H21,祝日!$B$1:$B$16)</f>
        <v>5</v>
      </c>
      <c r="J21" s="32">
        <f t="shared" si="0"/>
        <v>-1</v>
      </c>
      <c r="K21" s="33" t="s">
        <v>60</v>
      </c>
      <c r="L21" s="27" t="s">
        <v>69</v>
      </c>
    </row>
    <row r="22" spans="2:12" ht="22" customHeight="1" x14ac:dyDescent="0.35">
      <c r="B22" s="26"/>
      <c r="C22" s="27"/>
      <c r="D22" s="28"/>
      <c r="E22" s="29"/>
      <c r="F22" s="30">
        <f>NETWORKDAYS(D22,E22,祝日!$B$1:$B$16)</f>
        <v>0</v>
      </c>
      <c r="G22" s="28"/>
      <c r="H22" s="29"/>
      <c r="I22" s="31">
        <f>NETWORKDAYS(G22,H22,祝日!$B$1:$B$16)</f>
        <v>0</v>
      </c>
      <c r="J22" s="32">
        <f t="shared" si="0"/>
        <v>0</v>
      </c>
      <c r="K22" s="33"/>
      <c r="L22" s="27"/>
    </row>
    <row r="23" spans="2:12" ht="22" customHeight="1" x14ac:dyDescent="0.35">
      <c r="B23" s="34"/>
      <c r="C23" s="27"/>
      <c r="D23" s="35"/>
      <c r="E23" s="29"/>
      <c r="F23" s="30">
        <f>NETWORKDAYS(D23,E23,祝日!$B$1:$B$16)</f>
        <v>0</v>
      </c>
      <c r="G23" s="28"/>
      <c r="H23" s="29"/>
      <c r="I23" s="31">
        <f>NETWORKDAYS(G23,H23,祝日!$B$1:$B$16)</f>
        <v>0</v>
      </c>
      <c r="J23" s="32">
        <f t="shared" si="0"/>
        <v>0</v>
      </c>
      <c r="K23" s="33"/>
      <c r="L23" s="27"/>
    </row>
    <row r="24" spans="2:12" ht="22" customHeight="1" thickBot="1" x14ac:dyDescent="0.4">
      <c r="B24" s="51" t="s">
        <v>88</v>
      </c>
      <c r="C24" s="37"/>
      <c r="D24" s="41">
        <v>45930</v>
      </c>
      <c r="E24" s="39">
        <v>45930</v>
      </c>
      <c r="F24" s="40">
        <f>NETWORKDAYS(D24,E24,祝日!$B$1:$B$16)</f>
        <v>1</v>
      </c>
      <c r="G24" s="41">
        <v>45933</v>
      </c>
      <c r="H24" s="39">
        <v>45933</v>
      </c>
      <c r="I24" s="42">
        <f>NETWORKDAYS(G24,H24,祝日!$B$1:$B$16)</f>
        <v>1</v>
      </c>
      <c r="J24" s="43">
        <f t="shared" ref="J24" si="1">I24-F24</f>
        <v>0</v>
      </c>
      <c r="K24" s="44" t="s">
        <v>60</v>
      </c>
      <c r="L24" s="37" t="s">
        <v>87</v>
      </c>
    </row>
    <row r="25" spans="2:12" x14ac:dyDescent="0.35">
      <c r="B25" s="52" t="s">
        <v>90</v>
      </c>
    </row>
  </sheetData>
  <mergeCells count="14">
    <mergeCell ref="K14:K15"/>
    <mergeCell ref="L14:L15"/>
    <mergeCell ref="I13:J13"/>
    <mergeCell ref="B14:B15"/>
    <mergeCell ref="C14:C15"/>
    <mergeCell ref="D14:F14"/>
    <mergeCell ref="G14:I14"/>
    <mergeCell ref="J14:J15"/>
    <mergeCell ref="C9:G9"/>
    <mergeCell ref="C4:G4"/>
    <mergeCell ref="C5:G5"/>
    <mergeCell ref="C6:G6"/>
    <mergeCell ref="C7:G7"/>
    <mergeCell ref="C8:G8"/>
  </mergeCells>
  <phoneticPr fontId="1"/>
  <dataValidations count="3">
    <dataValidation type="list" allowBlank="1" showInputMessage="1" showErrorMessage="1" sqref="K16:K24" xr:uid="{EBF03FCB-C063-4BFB-85F8-4D1BB78B0CD2}">
      <formula1>"未実施,実施中,終了"</formula1>
    </dataValidation>
    <dataValidation type="list" allowBlank="1" showErrorMessage="1" sqref="C16:C24" xr:uid="{FCE419ED-B754-4DAD-96A1-5E099AA275B5}">
      <formula1>"追加"</formula1>
    </dataValidation>
    <dataValidation allowBlank="1" showErrorMessage="1" sqref="B14:C14 D15:I15 J14:L14" xr:uid="{1709B439-56A8-4AE5-8F83-B50A994FD999}"/>
  </dataValidations>
  <pageMargins left="0.25" right="0.25" top="0.75" bottom="0.75" header="0.3" footer="0.3"/>
  <pageSetup paperSize="9" scale="7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3"/>
  <sheetViews>
    <sheetView tabSelected="1" zoomScale="115" zoomScaleNormal="115" workbookViewId="0">
      <selection activeCell="D49" sqref="D49:L54"/>
    </sheetView>
  </sheetViews>
  <sheetFormatPr defaultColWidth="14.453125" defaultRowHeight="15" customHeight="1" x14ac:dyDescent="0.5"/>
  <cols>
    <col min="1" max="14" width="9" style="2" customWidth="1"/>
    <col min="15" max="26" width="8.7265625" style="2" customWidth="1"/>
    <col min="27" max="16384" width="14.453125" style="2"/>
  </cols>
  <sheetData>
    <row r="1" spans="1:26" ht="15.75" customHeight="1" x14ac:dyDescent="0.5">
      <c r="A1" s="1"/>
      <c r="B1" s="10" t="s">
        <v>18</v>
      </c>
      <c r="C1" s="1"/>
      <c r="D1" s="1"/>
      <c r="E1" s="1"/>
      <c r="F1" s="1"/>
      <c r="G1" s="1"/>
      <c r="H1" s="1"/>
      <c r="I1" s="1"/>
      <c r="J1" s="1"/>
      <c r="K1" s="1"/>
      <c r="L1" s="1"/>
      <c r="M1" s="1"/>
      <c r="N1" s="1"/>
      <c r="O1" s="1"/>
      <c r="P1" s="1"/>
      <c r="Q1" s="1"/>
      <c r="R1" s="1"/>
      <c r="S1" s="1"/>
      <c r="T1" s="1"/>
      <c r="U1" s="1"/>
      <c r="V1" s="1"/>
      <c r="W1" s="1"/>
      <c r="X1" s="1"/>
      <c r="Y1" s="1"/>
      <c r="Z1" s="1"/>
    </row>
    <row r="2" spans="1:26" ht="15.75" customHeight="1" thickBot="1" x14ac:dyDescent="0.55000000000000004">
      <c r="A2" s="1"/>
      <c r="B2" s="1"/>
      <c r="C2" s="1"/>
      <c r="D2" s="1"/>
      <c r="E2" s="1"/>
      <c r="F2" s="1"/>
      <c r="G2" s="1"/>
      <c r="H2" s="1"/>
      <c r="I2" s="1"/>
      <c r="J2" s="1"/>
      <c r="K2" s="1"/>
      <c r="L2" s="1"/>
      <c r="M2" s="1"/>
      <c r="N2" s="1"/>
      <c r="O2" s="1"/>
      <c r="P2" s="1"/>
      <c r="Q2" s="1"/>
      <c r="R2" s="1"/>
      <c r="S2" s="1"/>
      <c r="T2" s="1"/>
      <c r="U2" s="1"/>
      <c r="V2" s="1"/>
      <c r="W2" s="1"/>
      <c r="X2" s="1"/>
      <c r="Y2" s="1"/>
      <c r="Z2" s="1"/>
    </row>
    <row r="3" spans="1:26" ht="18.75" customHeight="1" x14ac:dyDescent="0.5">
      <c r="A3" s="1"/>
      <c r="B3" s="122" t="s">
        <v>19</v>
      </c>
      <c r="C3" s="123"/>
      <c r="D3" s="124" t="s">
        <v>20</v>
      </c>
      <c r="E3" s="125"/>
      <c r="F3" s="125"/>
      <c r="G3" s="125"/>
      <c r="H3" s="125"/>
      <c r="I3" s="125"/>
      <c r="J3" s="125"/>
      <c r="K3" s="125"/>
      <c r="L3" s="126"/>
      <c r="M3" s="1"/>
      <c r="N3" s="1"/>
      <c r="O3" s="1"/>
      <c r="P3" s="1"/>
      <c r="Q3" s="1"/>
      <c r="R3" s="1"/>
      <c r="S3" s="1"/>
      <c r="T3" s="1"/>
      <c r="U3" s="1"/>
      <c r="V3" s="1"/>
      <c r="W3" s="1"/>
      <c r="X3" s="1"/>
      <c r="Y3" s="1"/>
      <c r="Z3" s="1"/>
    </row>
    <row r="4" spans="1:26" ht="18.75" customHeight="1" x14ac:dyDescent="0.5">
      <c r="A4" s="1"/>
      <c r="B4" s="77" t="s">
        <v>21</v>
      </c>
      <c r="C4" s="76"/>
      <c r="D4" s="138" t="s">
        <v>98</v>
      </c>
      <c r="E4" s="78"/>
      <c r="F4" s="78"/>
      <c r="G4" s="78"/>
      <c r="H4" s="78"/>
      <c r="I4" s="78"/>
      <c r="J4" s="78"/>
      <c r="K4" s="78"/>
      <c r="L4" s="79"/>
      <c r="M4" s="1"/>
      <c r="N4" s="1"/>
      <c r="O4" s="1"/>
      <c r="P4" s="1"/>
      <c r="Q4" s="1"/>
      <c r="R4" s="1"/>
      <c r="S4" s="1"/>
      <c r="T4" s="1"/>
      <c r="U4" s="1"/>
      <c r="V4" s="1"/>
      <c r="W4" s="1"/>
      <c r="X4" s="1"/>
      <c r="Y4" s="1"/>
      <c r="Z4" s="1"/>
    </row>
    <row r="5" spans="1:26" ht="18.75" customHeight="1" x14ac:dyDescent="0.5">
      <c r="A5" s="1"/>
      <c r="B5" s="77" t="s">
        <v>22</v>
      </c>
      <c r="C5" s="76"/>
      <c r="D5" s="73" t="s">
        <v>97</v>
      </c>
      <c r="E5" s="78"/>
      <c r="F5" s="78"/>
      <c r="G5" s="78"/>
      <c r="H5" s="78"/>
      <c r="I5" s="78"/>
      <c r="J5" s="78"/>
      <c r="K5" s="78"/>
      <c r="L5" s="79"/>
      <c r="M5" s="1"/>
      <c r="N5" s="1"/>
      <c r="O5" s="1"/>
      <c r="P5" s="1"/>
      <c r="Q5" s="1"/>
      <c r="R5" s="1"/>
      <c r="S5" s="1"/>
      <c r="T5" s="1"/>
      <c r="U5" s="1"/>
      <c r="V5" s="1"/>
      <c r="W5" s="1"/>
      <c r="X5" s="1"/>
      <c r="Y5" s="1"/>
      <c r="Z5" s="1"/>
    </row>
    <row r="6" spans="1:26" ht="15.75" customHeight="1" x14ac:dyDescent="0.5">
      <c r="A6" s="1"/>
      <c r="B6" s="75" t="s">
        <v>23</v>
      </c>
      <c r="C6" s="76"/>
      <c r="D6" s="73" t="s">
        <v>99</v>
      </c>
      <c r="E6" s="73"/>
      <c r="F6" s="73"/>
      <c r="G6" s="73"/>
      <c r="H6" s="73"/>
      <c r="I6" s="73"/>
      <c r="J6" s="73"/>
      <c r="K6" s="73"/>
      <c r="L6" s="74"/>
      <c r="M6" s="1"/>
      <c r="N6" s="1"/>
      <c r="O6" s="1"/>
      <c r="P6" s="1"/>
      <c r="Q6" s="1"/>
      <c r="R6" s="1"/>
      <c r="S6" s="1"/>
      <c r="T6" s="1"/>
      <c r="U6" s="1"/>
      <c r="V6" s="1"/>
      <c r="W6" s="1"/>
      <c r="X6" s="1"/>
      <c r="Y6" s="1"/>
      <c r="Z6" s="1"/>
    </row>
    <row r="7" spans="1:26" ht="15.75" customHeight="1" x14ac:dyDescent="0.5">
      <c r="A7" s="1"/>
      <c r="B7" s="75" t="s">
        <v>24</v>
      </c>
      <c r="C7" s="76"/>
      <c r="D7" s="73" t="s">
        <v>100</v>
      </c>
      <c r="E7" s="73"/>
      <c r="F7" s="73"/>
      <c r="G7" s="73"/>
      <c r="H7" s="73"/>
      <c r="I7" s="73"/>
      <c r="J7" s="73"/>
      <c r="K7" s="73"/>
      <c r="L7" s="74"/>
      <c r="M7" s="1"/>
      <c r="N7" s="1"/>
      <c r="O7" s="1"/>
      <c r="P7" s="1"/>
      <c r="Q7" s="1"/>
      <c r="R7" s="1"/>
      <c r="S7" s="1"/>
      <c r="T7" s="1"/>
      <c r="U7" s="1"/>
      <c r="V7" s="1"/>
      <c r="W7" s="1"/>
      <c r="X7" s="1"/>
      <c r="Y7" s="1"/>
      <c r="Z7" s="1"/>
    </row>
    <row r="8" spans="1:26" ht="15.75" customHeight="1" x14ac:dyDescent="0.5">
      <c r="A8" s="1"/>
      <c r="B8" s="75" t="s">
        <v>25</v>
      </c>
      <c r="C8" s="76"/>
      <c r="D8" s="73" t="s">
        <v>105</v>
      </c>
      <c r="E8" s="73"/>
      <c r="F8" s="73"/>
      <c r="G8" s="73"/>
      <c r="H8" s="73"/>
      <c r="I8" s="73"/>
      <c r="J8" s="73"/>
      <c r="K8" s="73"/>
      <c r="L8" s="74"/>
      <c r="M8" s="1"/>
      <c r="N8" s="1"/>
      <c r="O8" s="1"/>
      <c r="P8" s="1"/>
      <c r="Q8" s="1"/>
      <c r="R8" s="1"/>
      <c r="S8" s="1"/>
      <c r="T8" s="1"/>
      <c r="U8" s="1"/>
      <c r="V8" s="1"/>
      <c r="W8" s="1"/>
      <c r="X8" s="1"/>
      <c r="Y8" s="1"/>
      <c r="Z8" s="1"/>
    </row>
    <row r="9" spans="1:26" ht="15.75" customHeight="1" x14ac:dyDescent="0.5">
      <c r="A9" s="1"/>
      <c r="B9" s="83" t="s">
        <v>26</v>
      </c>
      <c r="C9" s="84"/>
      <c r="D9" s="89" t="s">
        <v>106</v>
      </c>
      <c r="E9" s="90"/>
      <c r="F9" s="90"/>
      <c r="G9" s="90"/>
      <c r="H9" s="90"/>
      <c r="I9" s="90"/>
      <c r="J9" s="90"/>
      <c r="K9" s="90"/>
      <c r="L9" s="91"/>
      <c r="M9" s="1"/>
      <c r="N9" s="1"/>
      <c r="O9" s="1"/>
      <c r="P9" s="1"/>
      <c r="Q9" s="1"/>
      <c r="R9" s="1"/>
      <c r="S9" s="1"/>
      <c r="T9" s="1"/>
      <c r="U9" s="1"/>
      <c r="V9" s="1"/>
      <c r="W9" s="1"/>
      <c r="X9" s="1"/>
      <c r="Y9" s="1"/>
      <c r="Z9" s="1"/>
    </row>
    <row r="10" spans="1:26" ht="15.75" customHeight="1" x14ac:dyDescent="0.5">
      <c r="A10" s="1"/>
      <c r="B10" s="85"/>
      <c r="C10" s="86"/>
      <c r="D10" s="92"/>
      <c r="E10" s="93"/>
      <c r="F10" s="93"/>
      <c r="G10" s="93"/>
      <c r="H10" s="93"/>
      <c r="I10" s="93"/>
      <c r="J10" s="93"/>
      <c r="K10" s="93"/>
      <c r="L10" s="94"/>
      <c r="M10" s="1"/>
      <c r="N10" s="1"/>
      <c r="O10" s="1"/>
      <c r="P10" s="1"/>
      <c r="Q10" s="1"/>
      <c r="R10" s="1"/>
      <c r="S10" s="1"/>
      <c r="T10" s="1"/>
      <c r="U10" s="1"/>
      <c r="V10" s="1"/>
      <c r="W10" s="1"/>
      <c r="X10" s="1"/>
      <c r="Y10" s="1"/>
      <c r="Z10" s="1"/>
    </row>
    <row r="11" spans="1:26" ht="15.75" customHeight="1" x14ac:dyDescent="0.5">
      <c r="A11" s="1"/>
      <c r="B11" s="85"/>
      <c r="C11" s="86"/>
      <c r="D11" s="92"/>
      <c r="E11" s="93"/>
      <c r="F11" s="93"/>
      <c r="G11" s="93"/>
      <c r="H11" s="93"/>
      <c r="I11" s="93"/>
      <c r="J11" s="93"/>
      <c r="K11" s="93"/>
      <c r="L11" s="94"/>
      <c r="M11" s="1"/>
      <c r="N11" s="1"/>
      <c r="O11" s="1"/>
      <c r="P11" s="1"/>
      <c r="Q11" s="1"/>
      <c r="R11" s="1"/>
      <c r="S11" s="1"/>
      <c r="T11" s="1"/>
      <c r="U11" s="1"/>
      <c r="V11" s="1"/>
      <c r="W11" s="1"/>
      <c r="X11" s="1"/>
      <c r="Y11" s="1"/>
      <c r="Z11" s="1"/>
    </row>
    <row r="12" spans="1:26" ht="15.75" customHeight="1" x14ac:dyDescent="0.5">
      <c r="A12" s="1"/>
      <c r="B12" s="85"/>
      <c r="C12" s="86"/>
      <c r="D12" s="92"/>
      <c r="E12" s="93"/>
      <c r="F12" s="93"/>
      <c r="G12" s="93"/>
      <c r="H12" s="93"/>
      <c r="I12" s="93"/>
      <c r="J12" s="93"/>
      <c r="K12" s="93"/>
      <c r="L12" s="94"/>
      <c r="M12" s="1"/>
      <c r="N12" s="1"/>
      <c r="O12" s="1"/>
      <c r="P12" s="1"/>
      <c r="Q12" s="1"/>
      <c r="R12" s="1"/>
      <c r="S12" s="1"/>
      <c r="T12" s="1"/>
      <c r="U12" s="1"/>
      <c r="V12" s="1"/>
      <c r="W12" s="1"/>
      <c r="X12" s="1"/>
      <c r="Y12" s="1"/>
      <c r="Z12" s="1"/>
    </row>
    <row r="13" spans="1:26" ht="15.75" customHeight="1" x14ac:dyDescent="0.5">
      <c r="A13" s="1"/>
      <c r="B13" s="85"/>
      <c r="C13" s="86"/>
      <c r="D13" s="92"/>
      <c r="E13" s="93"/>
      <c r="F13" s="93"/>
      <c r="G13" s="93"/>
      <c r="H13" s="93"/>
      <c r="I13" s="93"/>
      <c r="J13" s="93"/>
      <c r="K13" s="93"/>
      <c r="L13" s="94"/>
      <c r="M13" s="1"/>
      <c r="N13" s="1"/>
      <c r="O13" s="1"/>
      <c r="P13" s="1"/>
      <c r="Q13" s="1"/>
      <c r="R13" s="1"/>
      <c r="S13" s="1"/>
      <c r="T13" s="1"/>
      <c r="U13" s="1"/>
      <c r="V13" s="1"/>
      <c r="W13" s="1"/>
      <c r="X13" s="1"/>
      <c r="Y13" s="1"/>
      <c r="Z13" s="1"/>
    </row>
    <row r="14" spans="1:26" ht="15.75" customHeight="1" x14ac:dyDescent="0.5">
      <c r="A14" s="1"/>
      <c r="B14" s="87"/>
      <c r="C14" s="88"/>
      <c r="D14" s="95"/>
      <c r="E14" s="96"/>
      <c r="F14" s="96"/>
      <c r="G14" s="96"/>
      <c r="H14" s="96"/>
      <c r="I14" s="96"/>
      <c r="J14" s="96"/>
      <c r="K14" s="96"/>
      <c r="L14" s="97"/>
      <c r="M14" s="1"/>
      <c r="N14" s="1"/>
      <c r="O14" s="1"/>
      <c r="P14" s="1"/>
      <c r="Q14" s="1"/>
      <c r="R14" s="1"/>
      <c r="S14" s="1"/>
      <c r="T14" s="1"/>
      <c r="U14" s="1"/>
      <c r="V14" s="1"/>
      <c r="W14" s="1"/>
      <c r="X14" s="1"/>
      <c r="Y14" s="1"/>
      <c r="Z14" s="1"/>
    </row>
    <row r="15" spans="1:26" ht="15.75" customHeight="1" x14ac:dyDescent="0.5">
      <c r="A15" s="1"/>
      <c r="B15" s="83" t="s">
        <v>27</v>
      </c>
      <c r="C15" s="84"/>
      <c r="D15" s="89" t="s">
        <v>107</v>
      </c>
      <c r="E15" s="90"/>
      <c r="F15" s="90"/>
      <c r="G15" s="90"/>
      <c r="H15" s="90"/>
      <c r="I15" s="90"/>
      <c r="J15" s="90"/>
      <c r="K15" s="90"/>
      <c r="L15" s="91"/>
      <c r="M15" s="1"/>
      <c r="N15" s="1"/>
      <c r="O15" s="1"/>
      <c r="P15" s="1"/>
      <c r="Q15" s="1"/>
      <c r="R15" s="1"/>
      <c r="S15" s="1"/>
      <c r="T15" s="1"/>
      <c r="U15" s="1"/>
      <c r="V15" s="1"/>
      <c r="W15" s="1"/>
      <c r="X15" s="1"/>
      <c r="Y15" s="1"/>
      <c r="Z15" s="1"/>
    </row>
    <row r="16" spans="1:26" ht="15.75" customHeight="1" x14ac:dyDescent="0.5">
      <c r="A16" s="1"/>
      <c r="B16" s="85"/>
      <c r="C16" s="86"/>
      <c r="D16" s="92"/>
      <c r="E16" s="93"/>
      <c r="F16" s="93"/>
      <c r="G16" s="93"/>
      <c r="H16" s="93"/>
      <c r="I16" s="93"/>
      <c r="J16" s="93"/>
      <c r="K16" s="93"/>
      <c r="L16" s="94"/>
      <c r="M16" s="1"/>
      <c r="N16" s="1"/>
      <c r="O16" s="1"/>
      <c r="P16" s="1"/>
      <c r="Q16" s="1"/>
      <c r="R16" s="1"/>
      <c r="S16" s="1"/>
      <c r="T16" s="1"/>
      <c r="U16" s="1"/>
      <c r="V16" s="1"/>
      <c r="W16" s="1"/>
      <c r="X16" s="1"/>
      <c r="Y16" s="1"/>
      <c r="Z16" s="1"/>
    </row>
    <row r="17" spans="1:26" ht="15.75" customHeight="1" x14ac:dyDescent="0.5">
      <c r="A17" s="1"/>
      <c r="B17" s="85"/>
      <c r="C17" s="86"/>
      <c r="D17" s="92"/>
      <c r="E17" s="93"/>
      <c r="F17" s="93"/>
      <c r="G17" s="93"/>
      <c r="H17" s="93"/>
      <c r="I17" s="93"/>
      <c r="J17" s="93"/>
      <c r="K17" s="93"/>
      <c r="L17" s="94"/>
      <c r="M17" s="1"/>
      <c r="N17" s="1"/>
      <c r="O17" s="1"/>
      <c r="P17" s="1"/>
      <c r="Q17" s="1"/>
      <c r="R17" s="1"/>
      <c r="S17" s="1"/>
      <c r="T17" s="1"/>
      <c r="U17" s="1"/>
      <c r="V17" s="1"/>
      <c r="W17" s="1"/>
      <c r="X17" s="1"/>
      <c r="Y17" s="1"/>
      <c r="Z17" s="1"/>
    </row>
    <row r="18" spans="1:26" ht="15.75" customHeight="1" x14ac:dyDescent="0.5">
      <c r="A18" s="1"/>
      <c r="B18" s="85"/>
      <c r="C18" s="86"/>
      <c r="D18" s="92"/>
      <c r="E18" s="93"/>
      <c r="F18" s="93"/>
      <c r="G18" s="93"/>
      <c r="H18" s="93"/>
      <c r="I18" s="93"/>
      <c r="J18" s="93"/>
      <c r="K18" s="93"/>
      <c r="L18" s="94"/>
      <c r="M18" s="1"/>
      <c r="N18" s="1"/>
      <c r="O18" s="1"/>
      <c r="P18" s="1"/>
      <c r="Q18" s="1"/>
      <c r="R18" s="1"/>
      <c r="S18" s="1"/>
      <c r="T18" s="1"/>
      <c r="U18" s="1"/>
      <c r="V18" s="1"/>
      <c r="W18" s="1"/>
      <c r="X18" s="1"/>
      <c r="Y18" s="1"/>
      <c r="Z18" s="1"/>
    </row>
    <row r="19" spans="1:26" ht="15.75" customHeight="1" x14ac:dyDescent="0.5">
      <c r="A19" s="1"/>
      <c r="B19" s="85"/>
      <c r="C19" s="86"/>
      <c r="D19" s="92"/>
      <c r="E19" s="93"/>
      <c r="F19" s="93"/>
      <c r="G19" s="93"/>
      <c r="H19" s="93"/>
      <c r="I19" s="93"/>
      <c r="J19" s="93"/>
      <c r="K19" s="93"/>
      <c r="L19" s="94"/>
      <c r="M19" s="1"/>
      <c r="N19" s="1"/>
      <c r="O19" s="1"/>
      <c r="P19" s="1"/>
      <c r="Q19" s="1"/>
      <c r="R19" s="1"/>
      <c r="S19" s="1"/>
      <c r="T19" s="1"/>
      <c r="U19" s="1"/>
      <c r="V19" s="1"/>
      <c r="W19" s="1"/>
      <c r="X19" s="1"/>
      <c r="Y19" s="1"/>
      <c r="Z19" s="1"/>
    </row>
    <row r="20" spans="1:26" ht="15.75" customHeight="1" x14ac:dyDescent="0.5">
      <c r="A20" s="1"/>
      <c r="B20" s="87"/>
      <c r="C20" s="88"/>
      <c r="D20" s="95"/>
      <c r="E20" s="96"/>
      <c r="F20" s="96"/>
      <c r="G20" s="96"/>
      <c r="H20" s="96"/>
      <c r="I20" s="96"/>
      <c r="J20" s="96"/>
      <c r="K20" s="96"/>
      <c r="L20" s="97"/>
      <c r="M20" s="1"/>
      <c r="N20" s="1"/>
      <c r="O20" s="1"/>
      <c r="P20" s="1"/>
      <c r="Q20" s="1"/>
      <c r="R20" s="1"/>
      <c r="S20" s="1"/>
      <c r="T20" s="1"/>
      <c r="U20" s="1"/>
      <c r="V20" s="1"/>
      <c r="W20" s="1"/>
      <c r="X20" s="1"/>
      <c r="Y20" s="1"/>
      <c r="Z20" s="1"/>
    </row>
    <row r="21" spans="1:26" ht="15.75" customHeight="1" x14ac:dyDescent="0.5">
      <c r="A21" s="1"/>
      <c r="B21" s="75" t="s">
        <v>28</v>
      </c>
      <c r="C21" s="76"/>
      <c r="D21" s="73" t="s">
        <v>101</v>
      </c>
      <c r="E21" s="73"/>
      <c r="F21" s="73"/>
      <c r="G21" s="73"/>
      <c r="H21" s="73"/>
      <c r="I21" s="73"/>
      <c r="J21" s="73"/>
      <c r="K21" s="73"/>
      <c r="L21" s="74"/>
      <c r="M21" s="1"/>
      <c r="N21" s="1"/>
      <c r="O21" s="1"/>
      <c r="P21" s="1"/>
      <c r="Q21" s="1"/>
      <c r="R21" s="1"/>
      <c r="S21" s="1"/>
      <c r="T21" s="1"/>
      <c r="U21" s="1"/>
      <c r="V21" s="1"/>
      <c r="W21" s="1"/>
      <c r="X21" s="1"/>
      <c r="Y21" s="1"/>
      <c r="Z21" s="1"/>
    </row>
    <row r="22" spans="1:26" ht="15.75" customHeight="1" x14ac:dyDescent="0.5">
      <c r="A22" s="1"/>
      <c r="B22" s="83" t="s">
        <v>29</v>
      </c>
      <c r="C22" s="84"/>
      <c r="D22" s="98" t="s">
        <v>108</v>
      </c>
      <c r="E22" s="90"/>
      <c r="F22" s="90"/>
      <c r="G22" s="90"/>
      <c r="H22" s="90"/>
      <c r="I22" s="90"/>
      <c r="J22" s="90"/>
      <c r="K22" s="90"/>
      <c r="L22" s="91"/>
      <c r="M22" s="1"/>
      <c r="N22" s="1"/>
      <c r="O22" s="1"/>
      <c r="P22" s="1"/>
      <c r="Q22" s="1"/>
      <c r="R22" s="1"/>
      <c r="S22" s="1"/>
      <c r="T22" s="1"/>
      <c r="U22" s="1"/>
      <c r="V22" s="1"/>
      <c r="W22" s="1"/>
      <c r="X22" s="1"/>
      <c r="Y22" s="1"/>
      <c r="Z22" s="1"/>
    </row>
    <row r="23" spans="1:26" ht="15.75" customHeight="1" x14ac:dyDescent="0.5">
      <c r="A23" s="1"/>
      <c r="B23" s="85"/>
      <c r="C23" s="86"/>
      <c r="D23" s="92"/>
      <c r="E23" s="93"/>
      <c r="F23" s="93"/>
      <c r="G23" s="93"/>
      <c r="H23" s="93"/>
      <c r="I23" s="93"/>
      <c r="J23" s="93"/>
      <c r="K23" s="93"/>
      <c r="L23" s="94"/>
      <c r="M23" s="1"/>
      <c r="N23" s="1"/>
      <c r="O23" s="1"/>
      <c r="P23" s="1"/>
      <c r="Q23" s="1"/>
      <c r="R23" s="1"/>
      <c r="S23" s="1"/>
      <c r="T23" s="1"/>
      <c r="U23" s="1"/>
      <c r="V23" s="1"/>
      <c r="W23" s="1"/>
      <c r="X23" s="1"/>
      <c r="Y23" s="1"/>
      <c r="Z23" s="1"/>
    </row>
    <row r="24" spans="1:26" ht="15.75" customHeight="1" x14ac:dyDescent="0.5">
      <c r="A24" s="1"/>
      <c r="B24" s="85"/>
      <c r="C24" s="86"/>
      <c r="D24" s="92"/>
      <c r="E24" s="93"/>
      <c r="F24" s="93"/>
      <c r="G24" s="93"/>
      <c r="H24" s="93"/>
      <c r="I24" s="93"/>
      <c r="J24" s="93"/>
      <c r="K24" s="93"/>
      <c r="L24" s="94"/>
      <c r="M24" s="1"/>
      <c r="N24" s="1"/>
      <c r="O24" s="1"/>
      <c r="P24" s="1"/>
      <c r="Q24" s="1"/>
      <c r="R24" s="1"/>
      <c r="S24" s="1"/>
      <c r="T24" s="1"/>
      <c r="U24" s="1"/>
      <c r="V24" s="1"/>
      <c r="W24" s="1"/>
      <c r="X24" s="1"/>
      <c r="Y24" s="1"/>
      <c r="Z24" s="1"/>
    </row>
    <row r="25" spans="1:26" ht="15.75" customHeight="1" x14ac:dyDescent="0.5">
      <c r="A25" s="1"/>
      <c r="B25" s="85"/>
      <c r="C25" s="86"/>
      <c r="D25" s="92"/>
      <c r="E25" s="93"/>
      <c r="F25" s="93"/>
      <c r="G25" s="93"/>
      <c r="H25" s="93"/>
      <c r="I25" s="93"/>
      <c r="J25" s="93"/>
      <c r="K25" s="93"/>
      <c r="L25" s="94"/>
      <c r="M25" s="1"/>
      <c r="N25" s="1"/>
      <c r="O25" s="1"/>
      <c r="P25" s="1"/>
      <c r="Q25" s="1"/>
      <c r="R25" s="1"/>
      <c r="S25" s="1"/>
      <c r="T25" s="1"/>
      <c r="U25" s="1"/>
      <c r="V25" s="1"/>
      <c r="W25" s="1"/>
      <c r="X25" s="1"/>
      <c r="Y25" s="1"/>
      <c r="Z25" s="1"/>
    </row>
    <row r="26" spans="1:26" ht="15.75" customHeight="1" x14ac:dyDescent="0.5">
      <c r="A26" s="1"/>
      <c r="B26" s="85"/>
      <c r="C26" s="86"/>
      <c r="D26" s="92"/>
      <c r="E26" s="93"/>
      <c r="F26" s="93"/>
      <c r="G26" s="93"/>
      <c r="H26" s="93"/>
      <c r="I26" s="93"/>
      <c r="J26" s="93"/>
      <c r="K26" s="93"/>
      <c r="L26" s="94"/>
      <c r="M26" s="1"/>
      <c r="N26" s="1"/>
      <c r="O26" s="1"/>
      <c r="P26" s="1"/>
      <c r="Q26" s="1"/>
      <c r="R26" s="1"/>
      <c r="S26" s="1"/>
      <c r="T26" s="1"/>
      <c r="U26" s="1"/>
      <c r="V26" s="1"/>
      <c r="W26" s="1"/>
      <c r="X26" s="1"/>
      <c r="Y26" s="1"/>
      <c r="Z26" s="1"/>
    </row>
    <row r="27" spans="1:26" ht="16.149999999999999" customHeight="1" x14ac:dyDescent="0.5">
      <c r="A27" s="1"/>
      <c r="B27" s="87"/>
      <c r="C27" s="88"/>
      <c r="D27" s="95"/>
      <c r="E27" s="96"/>
      <c r="F27" s="96"/>
      <c r="G27" s="96"/>
      <c r="H27" s="96"/>
      <c r="I27" s="96"/>
      <c r="J27" s="96"/>
      <c r="K27" s="96"/>
      <c r="L27" s="97"/>
      <c r="M27" s="1"/>
      <c r="N27" s="1"/>
      <c r="O27" s="1"/>
      <c r="P27" s="1"/>
      <c r="Q27" s="1"/>
      <c r="R27" s="1"/>
      <c r="S27" s="1"/>
      <c r="T27" s="1"/>
      <c r="U27" s="1"/>
      <c r="V27" s="1"/>
      <c r="W27" s="1"/>
      <c r="X27" s="1"/>
      <c r="Y27" s="1"/>
      <c r="Z27" s="1"/>
    </row>
    <row r="28" spans="1:26" ht="15.75" customHeight="1" x14ac:dyDescent="0.5">
      <c r="A28" s="1"/>
      <c r="B28" s="99" t="s">
        <v>30</v>
      </c>
      <c r="C28" s="100"/>
      <c r="D28" s="98" t="s">
        <v>102</v>
      </c>
      <c r="E28" s="90"/>
      <c r="F28" s="90"/>
      <c r="G28" s="90"/>
      <c r="H28" s="90"/>
      <c r="I28" s="90"/>
      <c r="J28" s="90"/>
      <c r="K28" s="90"/>
      <c r="L28" s="91"/>
      <c r="M28" s="1"/>
      <c r="N28" s="1"/>
      <c r="O28" s="1"/>
      <c r="P28" s="1"/>
      <c r="Q28" s="1"/>
      <c r="R28" s="1"/>
      <c r="S28" s="1"/>
      <c r="T28" s="1"/>
      <c r="U28" s="1"/>
      <c r="V28" s="1"/>
      <c r="W28" s="1"/>
      <c r="X28" s="1"/>
      <c r="Y28" s="1"/>
      <c r="Z28" s="1"/>
    </row>
    <row r="29" spans="1:26" ht="15.75" customHeight="1" x14ac:dyDescent="0.5">
      <c r="A29" s="1"/>
      <c r="B29" s="101"/>
      <c r="C29" s="102"/>
      <c r="D29" s="92"/>
      <c r="E29" s="93"/>
      <c r="F29" s="93"/>
      <c r="G29" s="93"/>
      <c r="H29" s="93"/>
      <c r="I29" s="93"/>
      <c r="J29" s="93"/>
      <c r="K29" s="93"/>
      <c r="L29" s="94"/>
      <c r="M29" s="1"/>
      <c r="N29" s="1"/>
      <c r="O29" s="1"/>
      <c r="P29" s="1"/>
      <c r="Q29" s="1"/>
      <c r="R29" s="1"/>
      <c r="S29" s="1"/>
      <c r="T29" s="1"/>
      <c r="U29" s="1"/>
      <c r="V29" s="1"/>
      <c r="W29" s="1"/>
      <c r="X29" s="1"/>
      <c r="Y29" s="1"/>
      <c r="Z29" s="1"/>
    </row>
    <row r="30" spans="1:26" ht="15.75" customHeight="1" x14ac:dyDescent="0.5">
      <c r="A30" s="1"/>
      <c r="B30" s="101"/>
      <c r="C30" s="102"/>
      <c r="D30" s="92"/>
      <c r="E30" s="93"/>
      <c r="F30" s="93"/>
      <c r="G30" s="93"/>
      <c r="H30" s="93"/>
      <c r="I30" s="93"/>
      <c r="J30" s="93"/>
      <c r="K30" s="93"/>
      <c r="L30" s="94"/>
      <c r="M30" s="1"/>
      <c r="N30" s="1"/>
      <c r="O30" s="1"/>
      <c r="P30" s="1"/>
      <c r="Q30" s="1"/>
      <c r="R30" s="1"/>
      <c r="S30" s="1"/>
      <c r="T30" s="1"/>
      <c r="U30" s="1"/>
      <c r="V30" s="1"/>
      <c r="W30" s="1"/>
      <c r="X30" s="1"/>
      <c r="Y30" s="1"/>
      <c r="Z30" s="1"/>
    </row>
    <row r="31" spans="1:26" ht="15.75" customHeight="1" x14ac:dyDescent="0.5">
      <c r="A31" s="1"/>
      <c r="B31" s="101"/>
      <c r="C31" s="102"/>
      <c r="D31" s="92"/>
      <c r="E31" s="93"/>
      <c r="F31" s="93"/>
      <c r="G31" s="93"/>
      <c r="H31" s="93"/>
      <c r="I31" s="93"/>
      <c r="J31" s="93"/>
      <c r="K31" s="93"/>
      <c r="L31" s="94"/>
      <c r="M31" s="1"/>
      <c r="N31" s="1"/>
      <c r="O31" s="1"/>
      <c r="P31" s="1"/>
      <c r="Q31" s="1"/>
      <c r="R31" s="1"/>
      <c r="S31" s="1"/>
      <c r="T31" s="1"/>
      <c r="U31" s="1"/>
      <c r="V31" s="1"/>
      <c r="W31" s="1"/>
      <c r="X31" s="1"/>
      <c r="Y31" s="1"/>
      <c r="Z31" s="1"/>
    </row>
    <row r="32" spans="1:26" ht="15.75" customHeight="1" x14ac:dyDescent="0.5">
      <c r="A32" s="1"/>
      <c r="B32" s="101"/>
      <c r="C32" s="102"/>
      <c r="D32" s="92"/>
      <c r="E32" s="93"/>
      <c r="F32" s="93"/>
      <c r="G32" s="93"/>
      <c r="H32" s="93"/>
      <c r="I32" s="93"/>
      <c r="J32" s="93"/>
      <c r="K32" s="93"/>
      <c r="L32" s="94"/>
      <c r="M32" s="1"/>
      <c r="N32" s="1"/>
      <c r="O32" s="1"/>
      <c r="P32" s="1"/>
      <c r="Q32" s="1"/>
      <c r="R32" s="1"/>
      <c r="S32" s="1"/>
      <c r="T32" s="1"/>
      <c r="U32" s="1"/>
      <c r="V32" s="1"/>
      <c r="W32" s="1"/>
      <c r="X32" s="1"/>
      <c r="Y32" s="1"/>
      <c r="Z32" s="1"/>
    </row>
    <row r="33" spans="1:26" ht="16.149999999999999" customHeight="1" x14ac:dyDescent="0.5">
      <c r="A33" s="1"/>
      <c r="B33" s="103"/>
      <c r="C33" s="104"/>
      <c r="D33" s="95"/>
      <c r="E33" s="96"/>
      <c r="F33" s="96"/>
      <c r="G33" s="96"/>
      <c r="H33" s="96"/>
      <c r="I33" s="96"/>
      <c r="J33" s="96"/>
      <c r="K33" s="96"/>
      <c r="L33" s="97"/>
      <c r="M33" s="1"/>
      <c r="N33" s="1"/>
      <c r="O33" s="1"/>
      <c r="P33" s="1"/>
      <c r="Q33" s="1"/>
      <c r="R33" s="1"/>
      <c r="S33" s="1"/>
      <c r="T33" s="1"/>
      <c r="U33" s="1"/>
      <c r="V33" s="1"/>
      <c r="W33" s="1"/>
      <c r="X33" s="1"/>
      <c r="Y33" s="1"/>
      <c r="Z33" s="1"/>
    </row>
    <row r="34" spans="1:26" ht="15.75" customHeight="1" thickBot="1" x14ac:dyDescent="0.55000000000000004">
      <c r="A34" s="1"/>
      <c r="B34" s="127" t="s">
        <v>31</v>
      </c>
      <c r="C34" s="128"/>
      <c r="D34" s="129" t="s">
        <v>103</v>
      </c>
      <c r="E34" s="129"/>
      <c r="F34" s="129"/>
      <c r="G34" s="129"/>
      <c r="H34" s="129"/>
      <c r="I34" s="129"/>
      <c r="J34" s="129"/>
      <c r="K34" s="129"/>
      <c r="L34" s="130"/>
      <c r="M34" s="1"/>
      <c r="N34" s="1"/>
      <c r="O34" s="1"/>
      <c r="P34" s="1"/>
      <c r="Q34" s="1"/>
      <c r="R34" s="1"/>
      <c r="S34" s="1"/>
      <c r="T34" s="1"/>
      <c r="U34" s="1"/>
      <c r="V34" s="1"/>
      <c r="W34" s="1"/>
      <c r="X34" s="1"/>
      <c r="Y34" s="1"/>
      <c r="Z34" s="1"/>
    </row>
    <row r="35" spans="1:26" ht="15.75" customHeight="1" thickBot="1" x14ac:dyDescent="0.55000000000000004">
      <c r="A35" s="1"/>
      <c r="B35" s="1"/>
      <c r="C35" s="3"/>
      <c r="D35" s="4"/>
      <c r="E35" s="4"/>
      <c r="F35" s="4"/>
      <c r="G35" s="4"/>
      <c r="H35" s="4"/>
      <c r="I35" s="4"/>
      <c r="J35" s="4"/>
      <c r="K35" s="4"/>
      <c r="L35" s="1"/>
      <c r="M35" s="1"/>
      <c r="N35" s="1"/>
      <c r="O35" s="1"/>
      <c r="P35" s="1"/>
      <c r="Q35" s="1"/>
      <c r="R35" s="1"/>
      <c r="S35" s="1"/>
      <c r="T35" s="1"/>
      <c r="U35" s="1"/>
      <c r="V35" s="1"/>
      <c r="W35" s="1"/>
      <c r="X35" s="1"/>
      <c r="Y35" s="1"/>
      <c r="Z35" s="1"/>
    </row>
    <row r="36" spans="1:26" ht="15.75" customHeight="1" x14ac:dyDescent="0.5">
      <c r="A36" s="1"/>
      <c r="B36" s="80" t="s">
        <v>32</v>
      </c>
      <c r="C36" s="81"/>
      <c r="D36" s="81"/>
      <c r="E36" s="81"/>
      <c r="F36" s="81"/>
      <c r="G36" s="81"/>
      <c r="H36" s="81"/>
      <c r="I36" s="81"/>
      <c r="J36" s="81"/>
      <c r="K36" s="81"/>
      <c r="L36" s="82"/>
      <c r="M36" s="1"/>
      <c r="N36" s="1"/>
      <c r="O36" s="1"/>
      <c r="P36" s="1"/>
      <c r="Q36" s="1"/>
      <c r="R36" s="1"/>
      <c r="S36" s="1"/>
      <c r="T36" s="1"/>
      <c r="U36" s="1"/>
      <c r="V36" s="1"/>
      <c r="W36" s="1"/>
      <c r="X36" s="1"/>
      <c r="Y36" s="1"/>
      <c r="Z36" s="1"/>
    </row>
    <row r="37" spans="1:26" ht="19.5" customHeight="1" x14ac:dyDescent="0.5">
      <c r="A37" s="1"/>
      <c r="B37" s="105" t="s">
        <v>37</v>
      </c>
      <c r="C37" s="106"/>
      <c r="D37" s="107" t="s">
        <v>104</v>
      </c>
      <c r="E37" s="108"/>
      <c r="F37" s="108"/>
      <c r="G37" s="108"/>
      <c r="H37" s="108"/>
      <c r="I37" s="108"/>
      <c r="J37" s="108"/>
      <c r="K37" s="108"/>
      <c r="L37" s="109"/>
      <c r="M37" s="1"/>
      <c r="N37" s="1"/>
      <c r="O37" s="1"/>
      <c r="P37" s="1"/>
      <c r="Q37" s="1"/>
      <c r="R37" s="1"/>
      <c r="S37" s="1"/>
      <c r="T37" s="1"/>
      <c r="U37" s="1"/>
      <c r="V37" s="1"/>
      <c r="W37" s="1"/>
      <c r="X37" s="1"/>
      <c r="Y37" s="1"/>
      <c r="Z37" s="1"/>
    </row>
    <row r="38" spans="1:26" ht="19.5" customHeight="1" x14ac:dyDescent="0.5">
      <c r="A38" s="1"/>
      <c r="B38" s="105"/>
      <c r="C38" s="106"/>
      <c r="D38" s="108"/>
      <c r="E38" s="108"/>
      <c r="F38" s="108"/>
      <c r="G38" s="108"/>
      <c r="H38" s="108"/>
      <c r="I38" s="108"/>
      <c r="J38" s="108"/>
      <c r="K38" s="108"/>
      <c r="L38" s="109"/>
      <c r="N38" s="1"/>
      <c r="O38" s="1"/>
      <c r="P38" s="1"/>
      <c r="Q38" s="1"/>
      <c r="R38" s="1"/>
      <c r="S38" s="1"/>
      <c r="T38" s="1"/>
      <c r="U38" s="1"/>
      <c r="V38" s="1"/>
      <c r="W38" s="1"/>
      <c r="X38" s="1"/>
      <c r="Y38" s="1"/>
      <c r="Z38" s="1"/>
    </row>
    <row r="39" spans="1:26" ht="18.75" customHeight="1" x14ac:dyDescent="0.5">
      <c r="A39" s="1"/>
      <c r="B39" s="105"/>
      <c r="C39" s="106"/>
      <c r="D39" s="108"/>
      <c r="E39" s="108"/>
      <c r="F39" s="108"/>
      <c r="G39" s="108"/>
      <c r="H39" s="108"/>
      <c r="I39" s="108"/>
      <c r="J39" s="108"/>
      <c r="K39" s="108"/>
      <c r="L39" s="109"/>
      <c r="M39" s="1"/>
      <c r="N39" s="1"/>
      <c r="O39" s="1"/>
      <c r="P39" s="1"/>
      <c r="Q39" s="1"/>
      <c r="R39" s="1"/>
      <c r="S39" s="1"/>
      <c r="T39" s="1"/>
      <c r="U39" s="1"/>
      <c r="V39" s="1"/>
      <c r="W39" s="1"/>
      <c r="X39" s="1"/>
      <c r="Y39" s="1"/>
      <c r="Z39" s="1"/>
    </row>
    <row r="40" spans="1:26" ht="18.75" customHeight="1" x14ac:dyDescent="0.5">
      <c r="A40" s="1"/>
      <c r="B40" s="105"/>
      <c r="C40" s="106"/>
      <c r="D40" s="108"/>
      <c r="E40" s="108"/>
      <c r="F40" s="108"/>
      <c r="G40" s="108"/>
      <c r="H40" s="108"/>
      <c r="I40" s="108"/>
      <c r="J40" s="108"/>
      <c r="K40" s="108"/>
      <c r="L40" s="109"/>
      <c r="M40" s="1"/>
      <c r="N40" s="5"/>
      <c r="O40" s="1"/>
      <c r="P40" s="1"/>
      <c r="Q40" s="1"/>
      <c r="R40" s="1"/>
      <c r="S40" s="1"/>
      <c r="T40" s="1"/>
      <c r="U40" s="1"/>
      <c r="V40" s="1"/>
      <c r="W40" s="1"/>
      <c r="X40" s="1"/>
      <c r="Y40" s="1"/>
      <c r="Z40" s="1"/>
    </row>
    <row r="41" spans="1:26" ht="18.75" customHeight="1" x14ac:dyDescent="0.5">
      <c r="A41" s="1"/>
      <c r="B41" s="105"/>
      <c r="C41" s="106"/>
      <c r="D41" s="108"/>
      <c r="E41" s="108"/>
      <c r="F41" s="108"/>
      <c r="G41" s="108"/>
      <c r="H41" s="108"/>
      <c r="I41" s="108"/>
      <c r="J41" s="108"/>
      <c r="K41" s="108"/>
      <c r="L41" s="109"/>
      <c r="M41" s="1"/>
      <c r="N41" s="1"/>
      <c r="O41" s="1"/>
      <c r="P41" s="1"/>
      <c r="Q41" s="1"/>
      <c r="R41" s="1"/>
      <c r="S41" s="1"/>
      <c r="T41" s="1"/>
      <c r="U41" s="1"/>
      <c r="V41" s="1"/>
      <c r="W41" s="1"/>
      <c r="X41" s="1"/>
      <c r="Y41" s="1"/>
      <c r="Z41" s="1"/>
    </row>
    <row r="42" spans="1:26" ht="18.75" customHeight="1" x14ac:dyDescent="0.5">
      <c r="A42" s="1"/>
      <c r="B42" s="105"/>
      <c r="C42" s="106"/>
      <c r="D42" s="108"/>
      <c r="E42" s="108"/>
      <c r="F42" s="108"/>
      <c r="G42" s="108"/>
      <c r="H42" s="108"/>
      <c r="I42" s="108"/>
      <c r="J42" s="108"/>
      <c r="K42" s="108"/>
      <c r="L42" s="109"/>
      <c r="M42" s="1"/>
      <c r="N42" s="1"/>
      <c r="O42" s="1"/>
      <c r="P42" s="1"/>
      <c r="Q42" s="1"/>
      <c r="R42" s="1"/>
      <c r="S42" s="1"/>
      <c r="T42" s="1"/>
      <c r="U42" s="1"/>
      <c r="V42" s="1"/>
      <c r="W42" s="1"/>
      <c r="X42" s="1"/>
      <c r="Y42" s="1"/>
      <c r="Z42" s="1"/>
    </row>
    <row r="43" spans="1:26" ht="19.5" customHeight="1" x14ac:dyDescent="0.5">
      <c r="A43" s="1"/>
      <c r="B43" s="105" t="s">
        <v>33</v>
      </c>
      <c r="C43" s="106"/>
      <c r="D43" s="107" t="s">
        <v>109</v>
      </c>
      <c r="E43" s="108"/>
      <c r="F43" s="108"/>
      <c r="G43" s="108"/>
      <c r="H43" s="108"/>
      <c r="I43" s="108"/>
      <c r="J43" s="108"/>
      <c r="K43" s="108"/>
      <c r="L43" s="109"/>
      <c r="M43" s="1"/>
      <c r="N43" s="1"/>
      <c r="O43" s="1"/>
      <c r="P43" s="1"/>
      <c r="Q43" s="1"/>
      <c r="R43" s="1"/>
      <c r="S43" s="1"/>
      <c r="T43" s="1"/>
      <c r="U43" s="1"/>
      <c r="V43" s="1"/>
      <c r="W43" s="1"/>
      <c r="X43" s="1"/>
      <c r="Y43" s="1"/>
      <c r="Z43" s="1"/>
    </row>
    <row r="44" spans="1:26" ht="19.5" customHeight="1" x14ac:dyDescent="0.5">
      <c r="A44" s="1"/>
      <c r="B44" s="105"/>
      <c r="C44" s="106"/>
      <c r="D44" s="108"/>
      <c r="E44" s="108"/>
      <c r="F44" s="108"/>
      <c r="G44" s="108"/>
      <c r="H44" s="108"/>
      <c r="I44" s="108"/>
      <c r="J44" s="108"/>
      <c r="K44" s="108"/>
      <c r="L44" s="109"/>
      <c r="N44" s="1"/>
      <c r="O44" s="1"/>
      <c r="P44" s="1"/>
      <c r="Q44" s="1"/>
      <c r="R44" s="1"/>
      <c r="S44" s="1"/>
      <c r="T44" s="1"/>
      <c r="U44" s="1"/>
      <c r="V44" s="1"/>
      <c r="W44" s="1"/>
      <c r="X44" s="1"/>
      <c r="Y44" s="1"/>
      <c r="Z44" s="1"/>
    </row>
    <row r="45" spans="1:26" ht="18.75" customHeight="1" x14ac:dyDescent="0.5">
      <c r="A45" s="1"/>
      <c r="B45" s="105"/>
      <c r="C45" s="106"/>
      <c r="D45" s="108"/>
      <c r="E45" s="108"/>
      <c r="F45" s="108"/>
      <c r="G45" s="108"/>
      <c r="H45" s="108"/>
      <c r="I45" s="108"/>
      <c r="J45" s="108"/>
      <c r="K45" s="108"/>
      <c r="L45" s="109"/>
      <c r="M45" s="1"/>
      <c r="N45" s="1"/>
      <c r="O45" s="1"/>
      <c r="P45" s="1"/>
      <c r="Q45" s="1"/>
      <c r="R45" s="1"/>
      <c r="S45" s="1"/>
      <c r="T45" s="1"/>
      <c r="U45" s="1"/>
      <c r="V45" s="1"/>
      <c r="W45" s="1"/>
      <c r="X45" s="1"/>
      <c r="Y45" s="1"/>
      <c r="Z45" s="1"/>
    </row>
    <row r="46" spans="1:26" ht="18.75" customHeight="1" x14ac:dyDescent="0.5">
      <c r="A46" s="1"/>
      <c r="B46" s="105"/>
      <c r="C46" s="106"/>
      <c r="D46" s="108"/>
      <c r="E46" s="108"/>
      <c r="F46" s="108"/>
      <c r="G46" s="108"/>
      <c r="H46" s="108"/>
      <c r="I46" s="108"/>
      <c r="J46" s="108"/>
      <c r="K46" s="108"/>
      <c r="L46" s="109"/>
      <c r="M46" s="1"/>
      <c r="N46" s="5"/>
      <c r="O46" s="1"/>
      <c r="P46" s="1"/>
      <c r="Q46" s="1"/>
      <c r="R46" s="1"/>
      <c r="S46" s="1"/>
      <c r="T46" s="1"/>
      <c r="U46" s="1"/>
      <c r="V46" s="1"/>
      <c r="W46" s="1"/>
      <c r="X46" s="1"/>
      <c r="Y46" s="1"/>
      <c r="Z46" s="1"/>
    </row>
    <row r="47" spans="1:26" ht="18.75" customHeight="1" x14ac:dyDescent="0.5">
      <c r="A47" s="1"/>
      <c r="B47" s="105"/>
      <c r="C47" s="106"/>
      <c r="D47" s="108"/>
      <c r="E47" s="108"/>
      <c r="F47" s="108"/>
      <c r="G47" s="108"/>
      <c r="H47" s="108"/>
      <c r="I47" s="108"/>
      <c r="J47" s="108"/>
      <c r="K47" s="108"/>
      <c r="L47" s="109"/>
      <c r="M47" s="1"/>
      <c r="N47" s="1"/>
      <c r="O47" s="1"/>
      <c r="P47" s="1"/>
      <c r="Q47" s="1"/>
      <c r="R47" s="1"/>
      <c r="S47" s="1"/>
      <c r="T47" s="1"/>
      <c r="U47" s="1"/>
      <c r="V47" s="1"/>
      <c r="W47" s="1"/>
      <c r="X47" s="1"/>
      <c r="Y47" s="1"/>
      <c r="Z47" s="1"/>
    </row>
    <row r="48" spans="1:26" ht="18.75" customHeight="1" x14ac:dyDescent="0.5">
      <c r="A48" s="1"/>
      <c r="B48" s="105"/>
      <c r="C48" s="106"/>
      <c r="D48" s="108"/>
      <c r="E48" s="108"/>
      <c r="F48" s="108"/>
      <c r="G48" s="108"/>
      <c r="H48" s="108"/>
      <c r="I48" s="108"/>
      <c r="J48" s="108"/>
      <c r="K48" s="108"/>
      <c r="L48" s="109"/>
      <c r="M48" s="1"/>
      <c r="N48" s="1"/>
      <c r="O48" s="1"/>
      <c r="P48" s="1"/>
      <c r="Q48" s="1"/>
      <c r="R48" s="1"/>
      <c r="S48" s="1"/>
      <c r="T48" s="1"/>
      <c r="U48" s="1"/>
      <c r="V48" s="1"/>
      <c r="W48" s="1"/>
      <c r="X48" s="1"/>
      <c r="Y48" s="1"/>
      <c r="Z48" s="1"/>
    </row>
    <row r="49" spans="1:26" ht="19.5" customHeight="1" x14ac:dyDescent="0.5">
      <c r="A49" s="1"/>
      <c r="B49" s="105" t="s">
        <v>34</v>
      </c>
      <c r="C49" s="106"/>
      <c r="D49" s="107" t="s">
        <v>110</v>
      </c>
      <c r="E49" s="108"/>
      <c r="F49" s="108"/>
      <c r="G49" s="108"/>
      <c r="H49" s="108"/>
      <c r="I49" s="108"/>
      <c r="J49" s="108"/>
      <c r="K49" s="108"/>
      <c r="L49" s="109"/>
      <c r="M49" s="1"/>
      <c r="N49" s="1"/>
      <c r="O49" s="1"/>
      <c r="P49" s="1"/>
      <c r="Q49" s="1"/>
      <c r="R49" s="1"/>
      <c r="S49" s="1"/>
      <c r="T49" s="1"/>
      <c r="U49" s="1"/>
      <c r="V49" s="1"/>
      <c r="W49" s="1"/>
      <c r="X49" s="1"/>
      <c r="Y49" s="1"/>
      <c r="Z49" s="1"/>
    </row>
    <row r="50" spans="1:26" ht="19.5" customHeight="1" x14ac:dyDescent="0.5">
      <c r="A50" s="1"/>
      <c r="B50" s="105"/>
      <c r="C50" s="106"/>
      <c r="D50" s="108"/>
      <c r="E50" s="108"/>
      <c r="F50" s="108"/>
      <c r="G50" s="108"/>
      <c r="H50" s="108"/>
      <c r="I50" s="108"/>
      <c r="J50" s="108"/>
      <c r="K50" s="108"/>
      <c r="L50" s="109"/>
      <c r="N50" s="1"/>
      <c r="O50" s="1"/>
      <c r="P50" s="1"/>
      <c r="Q50" s="1"/>
      <c r="R50" s="1"/>
      <c r="S50" s="1"/>
      <c r="T50" s="1"/>
      <c r="U50" s="1"/>
      <c r="V50" s="1"/>
      <c r="W50" s="1"/>
      <c r="X50" s="1"/>
      <c r="Y50" s="1"/>
      <c r="Z50" s="1"/>
    </row>
    <row r="51" spans="1:26" ht="18.75" customHeight="1" x14ac:dyDescent="0.5">
      <c r="A51" s="1"/>
      <c r="B51" s="105"/>
      <c r="C51" s="106"/>
      <c r="D51" s="108"/>
      <c r="E51" s="108"/>
      <c r="F51" s="108"/>
      <c r="G51" s="108"/>
      <c r="H51" s="108"/>
      <c r="I51" s="108"/>
      <c r="J51" s="108"/>
      <c r="K51" s="108"/>
      <c r="L51" s="109"/>
      <c r="M51" s="1"/>
      <c r="N51" s="1"/>
      <c r="O51" s="1"/>
      <c r="P51" s="1"/>
      <c r="Q51" s="1"/>
      <c r="R51" s="1"/>
      <c r="S51" s="1"/>
      <c r="T51" s="1"/>
      <c r="U51" s="1"/>
      <c r="V51" s="1"/>
      <c r="W51" s="1"/>
      <c r="X51" s="1"/>
      <c r="Y51" s="1"/>
      <c r="Z51" s="1"/>
    </row>
    <row r="52" spans="1:26" ht="18.75" customHeight="1" x14ac:dyDescent="0.5">
      <c r="A52" s="1"/>
      <c r="B52" s="105"/>
      <c r="C52" s="106"/>
      <c r="D52" s="108"/>
      <c r="E52" s="108"/>
      <c r="F52" s="108"/>
      <c r="G52" s="108"/>
      <c r="H52" s="108"/>
      <c r="I52" s="108"/>
      <c r="J52" s="108"/>
      <c r="K52" s="108"/>
      <c r="L52" s="109"/>
      <c r="M52" s="1"/>
      <c r="N52" s="5"/>
      <c r="O52" s="1"/>
      <c r="P52" s="1"/>
      <c r="Q52" s="1"/>
      <c r="R52" s="1"/>
      <c r="S52" s="1"/>
      <c r="T52" s="1"/>
      <c r="U52" s="1"/>
      <c r="V52" s="1"/>
      <c r="W52" s="1"/>
      <c r="X52" s="1"/>
      <c r="Y52" s="1"/>
      <c r="Z52" s="1"/>
    </row>
    <row r="53" spans="1:26" ht="18.75" customHeight="1" x14ac:dyDescent="0.5">
      <c r="A53" s="1"/>
      <c r="B53" s="105"/>
      <c r="C53" s="106"/>
      <c r="D53" s="108"/>
      <c r="E53" s="108"/>
      <c r="F53" s="108"/>
      <c r="G53" s="108"/>
      <c r="H53" s="108"/>
      <c r="I53" s="108"/>
      <c r="J53" s="108"/>
      <c r="K53" s="108"/>
      <c r="L53" s="109"/>
      <c r="M53" s="1"/>
      <c r="N53" s="1"/>
      <c r="O53" s="1"/>
      <c r="P53" s="1"/>
      <c r="Q53" s="1"/>
      <c r="R53" s="1"/>
      <c r="S53" s="1"/>
      <c r="T53" s="1"/>
      <c r="U53" s="1"/>
      <c r="V53" s="1"/>
      <c r="W53" s="1"/>
      <c r="X53" s="1"/>
      <c r="Y53" s="1"/>
      <c r="Z53" s="1"/>
    </row>
    <row r="54" spans="1:26" ht="18.75" customHeight="1" x14ac:dyDescent="0.5">
      <c r="A54" s="1"/>
      <c r="B54" s="105"/>
      <c r="C54" s="106"/>
      <c r="D54" s="108"/>
      <c r="E54" s="108"/>
      <c r="F54" s="108"/>
      <c r="G54" s="108"/>
      <c r="H54" s="108"/>
      <c r="I54" s="108"/>
      <c r="J54" s="108"/>
      <c r="K54" s="108"/>
      <c r="L54" s="109"/>
      <c r="M54" s="1"/>
      <c r="N54" s="1"/>
      <c r="O54" s="1"/>
      <c r="P54" s="1"/>
      <c r="Q54" s="1"/>
      <c r="R54" s="1"/>
      <c r="S54" s="1"/>
      <c r="T54" s="1"/>
      <c r="U54" s="1"/>
      <c r="V54" s="1"/>
      <c r="W54" s="1"/>
      <c r="X54" s="1"/>
      <c r="Y54" s="1"/>
      <c r="Z54" s="1"/>
    </row>
    <row r="55" spans="1:26" ht="19.5" customHeight="1" x14ac:dyDescent="0.5">
      <c r="A55" s="1"/>
      <c r="B55" s="105" t="s">
        <v>35</v>
      </c>
      <c r="C55" s="106"/>
      <c r="D55" s="107" t="s">
        <v>111</v>
      </c>
      <c r="E55" s="108"/>
      <c r="F55" s="108"/>
      <c r="G55" s="108"/>
      <c r="H55" s="108"/>
      <c r="I55" s="108"/>
      <c r="J55" s="108"/>
      <c r="K55" s="108"/>
      <c r="L55" s="109"/>
      <c r="M55" s="1"/>
      <c r="N55" s="1"/>
      <c r="O55" s="1"/>
      <c r="P55" s="1"/>
      <c r="Q55" s="1"/>
      <c r="R55" s="1"/>
      <c r="S55" s="1"/>
      <c r="T55" s="1"/>
      <c r="U55" s="1"/>
      <c r="V55" s="1"/>
      <c r="W55" s="1"/>
      <c r="X55" s="1"/>
      <c r="Y55" s="1"/>
      <c r="Z55" s="1"/>
    </row>
    <row r="56" spans="1:26" ht="19.5" customHeight="1" x14ac:dyDescent="0.5">
      <c r="A56" s="1"/>
      <c r="B56" s="105"/>
      <c r="C56" s="106"/>
      <c r="D56" s="108"/>
      <c r="E56" s="108"/>
      <c r="F56" s="108"/>
      <c r="G56" s="108"/>
      <c r="H56" s="108"/>
      <c r="I56" s="108"/>
      <c r="J56" s="108"/>
      <c r="K56" s="108"/>
      <c r="L56" s="109"/>
      <c r="N56" s="1"/>
      <c r="O56" s="1"/>
      <c r="P56" s="1"/>
      <c r="Q56" s="1"/>
      <c r="R56" s="1"/>
      <c r="S56" s="1"/>
      <c r="T56" s="1"/>
      <c r="U56" s="1"/>
      <c r="V56" s="1"/>
      <c r="W56" s="1"/>
      <c r="X56" s="1"/>
      <c r="Y56" s="1"/>
      <c r="Z56" s="1"/>
    </row>
    <row r="57" spans="1:26" ht="18.75" customHeight="1" x14ac:dyDescent="0.5">
      <c r="A57" s="1"/>
      <c r="B57" s="105"/>
      <c r="C57" s="106"/>
      <c r="D57" s="108"/>
      <c r="E57" s="108"/>
      <c r="F57" s="108"/>
      <c r="G57" s="108"/>
      <c r="H57" s="108"/>
      <c r="I57" s="108"/>
      <c r="J57" s="108"/>
      <c r="K57" s="108"/>
      <c r="L57" s="109"/>
      <c r="M57" s="1"/>
      <c r="N57" s="1"/>
      <c r="O57" s="1"/>
      <c r="P57" s="1"/>
      <c r="Q57" s="1"/>
      <c r="R57" s="1"/>
      <c r="S57" s="1"/>
      <c r="T57" s="1"/>
      <c r="U57" s="1"/>
      <c r="V57" s="1"/>
      <c r="W57" s="1"/>
      <c r="X57" s="1"/>
      <c r="Y57" s="1"/>
      <c r="Z57" s="1"/>
    </row>
    <row r="58" spans="1:26" ht="18.75" customHeight="1" x14ac:dyDescent="0.5">
      <c r="A58" s="1"/>
      <c r="B58" s="105"/>
      <c r="C58" s="106"/>
      <c r="D58" s="108"/>
      <c r="E58" s="108"/>
      <c r="F58" s="108"/>
      <c r="G58" s="108"/>
      <c r="H58" s="108"/>
      <c r="I58" s="108"/>
      <c r="J58" s="108"/>
      <c r="K58" s="108"/>
      <c r="L58" s="109"/>
      <c r="M58" s="1"/>
      <c r="N58" s="5"/>
      <c r="O58" s="1"/>
      <c r="P58" s="1"/>
      <c r="Q58" s="1"/>
      <c r="R58" s="1"/>
      <c r="S58" s="1"/>
      <c r="T58" s="1"/>
      <c r="U58" s="1"/>
      <c r="V58" s="1"/>
      <c r="W58" s="1"/>
      <c r="X58" s="1"/>
      <c r="Y58" s="1"/>
      <c r="Z58" s="1"/>
    </row>
    <row r="59" spans="1:26" ht="18.75" customHeight="1" x14ac:dyDescent="0.5">
      <c r="A59" s="1"/>
      <c r="B59" s="105"/>
      <c r="C59" s="106"/>
      <c r="D59" s="108"/>
      <c r="E59" s="108"/>
      <c r="F59" s="108"/>
      <c r="G59" s="108"/>
      <c r="H59" s="108"/>
      <c r="I59" s="108"/>
      <c r="J59" s="108"/>
      <c r="K59" s="108"/>
      <c r="L59" s="109"/>
      <c r="M59" s="1"/>
      <c r="N59" s="1"/>
      <c r="O59" s="1"/>
      <c r="P59" s="1"/>
      <c r="Q59" s="1"/>
      <c r="R59" s="1"/>
      <c r="S59" s="1"/>
      <c r="T59" s="1"/>
      <c r="U59" s="1"/>
      <c r="V59" s="1"/>
      <c r="W59" s="1"/>
      <c r="X59" s="1"/>
      <c r="Y59" s="1"/>
      <c r="Z59" s="1"/>
    </row>
    <row r="60" spans="1:26" ht="18.75" customHeight="1" thickBot="1" x14ac:dyDescent="0.55000000000000004">
      <c r="A60" s="1"/>
      <c r="B60" s="131"/>
      <c r="C60" s="132"/>
      <c r="D60" s="133"/>
      <c r="E60" s="133"/>
      <c r="F60" s="133"/>
      <c r="G60" s="133"/>
      <c r="H60" s="133"/>
      <c r="I60" s="133"/>
      <c r="J60" s="133"/>
      <c r="K60" s="133"/>
      <c r="L60" s="134"/>
      <c r="M60" s="1"/>
      <c r="N60" s="1"/>
      <c r="O60" s="1"/>
      <c r="P60" s="1"/>
      <c r="Q60" s="1"/>
      <c r="R60" s="1"/>
      <c r="S60" s="1"/>
      <c r="T60" s="1"/>
      <c r="U60" s="1"/>
      <c r="V60" s="1"/>
      <c r="W60" s="1"/>
      <c r="X60" s="1"/>
      <c r="Y60" s="1"/>
      <c r="Z60" s="1"/>
    </row>
    <row r="61" spans="1:26" ht="15.75" customHeight="1" thickBot="1" x14ac:dyDescent="0.55000000000000004">
      <c r="A61" s="1"/>
      <c r="B61" s="1"/>
      <c r="C61" s="6"/>
      <c r="D61" s="6"/>
      <c r="E61" s="6"/>
      <c r="F61" s="6"/>
      <c r="G61" s="6"/>
      <c r="H61" s="6"/>
      <c r="I61" s="6"/>
      <c r="J61" s="6"/>
      <c r="K61" s="6"/>
      <c r="L61" s="6"/>
      <c r="M61" s="1"/>
      <c r="N61" s="1"/>
      <c r="O61" s="1"/>
      <c r="P61" s="1"/>
      <c r="Q61" s="1"/>
      <c r="R61" s="1"/>
      <c r="S61" s="1"/>
      <c r="T61" s="1"/>
      <c r="U61" s="1"/>
      <c r="V61" s="1"/>
      <c r="W61" s="1"/>
      <c r="X61" s="1"/>
      <c r="Y61" s="1"/>
      <c r="Z61" s="1"/>
    </row>
    <row r="62" spans="1:26" ht="15.75" customHeight="1" thickBot="1" x14ac:dyDescent="0.55000000000000004">
      <c r="A62" s="1"/>
      <c r="B62" s="110" t="s">
        <v>36</v>
      </c>
      <c r="C62" s="111"/>
      <c r="D62" s="111"/>
      <c r="E62" s="111"/>
      <c r="F62" s="111"/>
      <c r="G62" s="111"/>
      <c r="H62" s="111"/>
      <c r="I62" s="111"/>
      <c r="J62" s="111"/>
      <c r="K62" s="111"/>
      <c r="L62" s="112"/>
      <c r="M62" s="1"/>
      <c r="N62" s="1"/>
      <c r="O62" s="1"/>
      <c r="P62" s="1"/>
      <c r="Q62" s="1"/>
      <c r="R62" s="1"/>
      <c r="S62" s="1"/>
      <c r="T62" s="1"/>
      <c r="U62" s="1"/>
      <c r="V62" s="1"/>
      <c r="W62" s="1"/>
      <c r="X62" s="1"/>
      <c r="Y62" s="1"/>
      <c r="Z62" s="1"/>
    </row>
    <row r="63" spans="1:26" ht="18.75" customHeight="1" x14ac:dyDescent="0.5">
      <c r="A63" s="1"/>
      <c r="B63" s="113"/>
      <c r="C63" s="114"/>
      <c r="D63" s="114"/>
      <c r="E63" s="114"/>
      <c r="F63" s="114"/>
      <c r="G63" s="114"/>
      <c r="H63" s="114"/>
      <c r="I63" s="114"/>
      <c r="J63" s="114"/>
      <c r="K63" s="114"/>
      <c r="L63" s="115"/>
      <c r="M63" s="1"/>
      <c r="N63" s="1"/>
      <c r="O63" s="1"/>
      <c r="P63" s="1"/>
      <c r="Q63" s="1"/>
      <c r="R63" s="1"/>
      <c r="S63" s="1"/>
      <c r="T63" s="1"/>
      <c r="U63" s="1"/>
      <c r="V63" s="1"/>
      <c r="W63" s="1"/>
      <c r="X63" s="1"/>
      <c r="Y63" s="1"/>
      <c r="Z63" s="1"/>
    </row>
    <row r="64" spans="1:26" ht="18.75" customHeight="1" x14ac:dyDescent="0.5">
      <c r="A64" s="1"/>
      <c r="B64" s="116"/>
      <c r="C64" s="117"/>
      <c r="D64" s="117"/>
      <c r="E64" s="117"/>
      <c r="F64" s="117"/>
      <c r="G64" s="117"/>
      <c r="H64" s="117"/>
      <c r="I64" s="117"/>
      <c r="J64" s="117"/>
      <c r="K64" s="117"/>
      <c r="L64" s="118"/>
      <c r="M64" s="1"/>
      <c r="N64" s="1"/>
      <c r="O64" s="1"/>
      <c r="P64" s="1"/>
      <c r="Q64" s="1"/>
      <c r="R64" s="1"/>
      <c r="S64" s="1"/>
      <c r="T64" s="1"/>
      <c r="U64" s="1"/>
      <c r="V64" s="1"/>
      <c r="W64" s="1"/>
      <c r="X64" s="1"/>
      <c r="Y64" s="1"/>
      <c r="Z64" s="1"/>
    </row>
    <row r="65" spans="1:26" ht="18.75" customHeight="1" x14ac:dyDescent="0.5">
      <c r="A65" s="1"/>
      <c r="B65" s="116"/>
      <c r="C65" s="117"/>
      <c r="D65" s="117"/>
      <c r="E65" s="117"/>
      <c r="F65" s="117"/>
      <c r="G65" s="117"/>
      <c r="H65" s="117"/>
      <c r="I65" s="117"/>
      <c r="J65" s="117"/>
      <c r="K65" s="117"/>
      <c r="L65" s="118"/>
      <c r="M65" s="1"/>
      <c r="N65" s="1"/>
      <c r="O65" s="1"/>
      <c r="P65" s="1"/>
      <c r="Q65" s="1"/>
      <c r="R65" s="1"/>
      <c r="S65" s="1"/>
      <c r="T65" s="1"/>
      <c r="U65" s="1"/>
      <c r="V65" s="1"/>
      <c r="W65" s="1"/>
      <c r="X65" s="1"/>
      <c r="Y65" s="1"/>
      <c r="Z65" s="1"/>
    </row>
    <row r="66" spans="1:26" ht="18.75" customHeight="1" x14ac:dyDescent="0.5">
      <c r="A66" s="1"/>
      <c r="B66" s="116"/>
      <c r="C66" s="117"/>
      <c r="D66" s="117"/>
      <c r="E66" s="117"/>
      <c r="F66" s="117"/>
      <c r="G66" s="117"/>
      <c r="H66" s="117"/>
      <c r="I66" s="117"/>
      <c r="J66" s="117"/>
      <c r="K66" s="117"/>
      <c r="L66" s="118"/>
      <c r="M66" s="1"/>
      <c r="N66" s="1"/>
      <c r="O66" s="1"/>
      <c r="P66" s="1"/>
      <c r="Q66" s="1"/>
      <c r="R66" s="1"/>
      <c r="S66" s="1"/>
      <c r="T66" s="1"/>
      <c r="U66" s="1"/>
      <c r="V66" s="1"/>
      <c r="W66" s="1"/>
      <c r="X66" s="1"/>
      <c r="Y66" s="1"/>
      <c r="Z66" s="1"/>
    </row>
    <row r="67" spans="1:26" ht="18.75" customHeight="1" x14ac:dyDescent="0.5">
      <c r="A67" s="1"/>
      <c r="B67" s="116"/>
      <c r="C67" s="117"/>
      <c r="D67" s="117"/>
      <c r="E67" s="117"/>
      <c r="F67" s="117"/>
      <c r="G67" s="117"/>
      <c r="H67" s="117"/>
      <c r="I67" s="117"/>
      <c r="J67" s="117"/>
      <c r="K67" s="117"/>
      <c r="L67" s="118"/>
      <c r="M67" s="1"/>
      <c r="N67" s="1"/>
      <c r="O67" s="1"/>
      <c r="P67" s="1"/>
      <c r="Q67" s="1"/>
      <c r="R67" s="1"/>
      <c r="S67" s="1"/>
      <c r="T67" s="1"/>
      <c r="U67" s="1"/>
      <c r="V67" s="1"/>
      <c r="W67" s="1"/>
      <c r="X67" s="1"/>
      <c r="Y67" s="1"/>
      <c r="Z67" s="1"/>
    </row>
    <row r="68" spans="1:26" ht="18.75" customHeight="1" x14ac:dyDescent="0.5">
      <c r="A68" s="1"/>
      <c r="B68" s="116"/>
      <c r="C68" s="117"/>
      <c r="D68" s="117"/>
      <c r="E68" s="117"/>
      <c r="F68" s="117"/>
      <c r="G68" s="117"/>
      <c r="H68" s="117"/>
      <c r="I68" s="117"/>
      <c r="J68" s="117"/>
      <c r="K68" s="117"/>
      <c r="L68" s="118"/>
      <c r="M68" s="1"/>
      <c r="N68" s="1"/>
      <c r="O68" s="1"/>
      <c r="P68" s="1"/>
      <c r="Q68" s="1"/>
      <c r="R68" s="1"/>
      <c r="S68" s="1"/>
      <c r="T68" s="1"/>
      <c r="U68" s="1"/>
      <c r="V68" s="1"/>
      <c r="W68" s="1"/>
      <c r="X68" s="1"/>
      <c r="Y68" s="1"/>
      <c r="Z68" s="1"/>
    </row>
    <row r="69" spans="1:26" ht="18.75" customHeight="1" x14ac:dyDescent="0.5">
      <c r="A69" s="1"/>
      <c r="B69" s="116"/>
      <c r="C69" s="117"/>
      <c r="D69" s="117"/>
      <c r="E69" s="117"/>
      <c r="F69" s="117"/>
      <c r="G69" s="117"/>
      <c r="H69" s="117"/>
      <c r="I69" s="117"/>
      <c r="J69" s="117"/>
      <c r="K69" s="117"/>
      <c r="L69" s="118"/>
      <c r="M69" s="1"/>
      <c r="N69" s="1"/>
      <c r="O69" s="1"/>
      <c r="P69" s="1"/>
      <c r="Q69" s="1"/>
      <c r="R69" s="1"/>
      <c r="S69" s="1"/>
      <c r="T69" s="1"/>
      <c r="U69" s="1"/>
      <c r="V69" s="1"/>
      <c r="W69" s="1"/>
      <c r="X69" s="1"/>
      <c r="Y69" s="1"/>
      <c r="Z69" s="1"/>
    </row>
    <row r="70" spans="1:26" ht="18.75" customHeight="1" x14ac:dyDescent="0.5">
      <c r="A70" s="1"/>
      <c r="B70" s="116"/>
      <c r="C70" s="117"/>
      <c r="D70" s="117"/>
      <c r="E70" s="117"/>
      <c r="F70" s="117"/>
      <c r="G70" s="117"/>
      <c r="H70" s="117"/>
      <c r="I70" s="117"/>
      <c r="J70" s="117"/>
      <c r="K70" s="117"/>
      <c r="L70" s="118"/>
      <c r="M70" s="1"/>
      <c r="N70" s="1"/>
      <c r="O70" s="1"/>
      <c r="P70" s="1"/>
      <c r="Q70" s="1"/>
      <c r="R70" s="1"/>
      <c r="S70" s="1"/>
      <c r="T70" s="1"/>
      <c r="U70" s="1"/>
      <c r="V70" s="1"/>
      <c r="W70" s="1"/>
      <c r="X70" s="1"/>
      <c r="Y70" s="1"/>
      <c r="Z70" s="1"/>
    </row>
    <row r="71" spans="1:26" ht="18.75" customHeight="1" x14ac:dyDescent="0.5">
      <c r="A71" s="1"/>
      <c r="B71" s="116"/>
      <c r="C71" s="117"/>
      <c r="D71" s="117"/>
      <c r="E71" s="117"/>
      <c r="F71" s="117"/>
      <c r="G71" s="117"/>
      <c r="H71" s="117"/>
      <c r="I71" s="117"/>
      <c r="J71" s="117"/>
      <c r="K71" s="117"/>
      <c r="L71" s="118"/>
      <c r="M71" s="1"/>
      <c r="N71" s="1"/>
      <c r="O71" s="1"/>
      <c r="P71" s="1"/>
      <c r="Q71" s="1"/>
      <c r="R71" s="1"/>
      <c r="S71" s="1"/>
      <c r="T71" s="1"/>
      <c r="U71" s="1"/>
      <c r="V71" s="1"/>
      <c r="W71" s="1"/>
      <c r="X71" s="1"/>
      <c r="Y71" s="1"/>
      <c r="Z71" s="1"/>
    </row>
    <row r="72" spans="1:26" ht="18.75" customHeight="1" x14ac:dyDescent="0.5">
      <c r="A72" s="1"/>
      <c r="B72" s="116"/>
      <c r="C72" s="117"/>
      <c r="D72" s="117"/>
      <c r="E72" s="117"/>
      <c r="F72" s="117"/>
      <c r="G72" s="117"/>
      <c r="H72" s="117"/>
      <c r="I72" s="117"/>
      <c r="J72" s="117"/>
      <c r="K72" s="117"/>
      <c r="L72" s="118"/>
      <c r="M72" s="1"/>
      <c r="N72" s="1"/>
      <c r="O72" s="1"/>
      <c r="P72" s="1"/>
      <c r="Q72" s="1"/>
      <c r="R72" s="1"/>
      <c r="S72" s="1"/>
      <c r="T72" s="1"/>
      <c r="U72" s="1"/>
      <c r="V72" s="1"/>
      <c r="W72" s="1"/>
      <c r="X72" s="1"/>
      <c r="Y72" s="1"/>
      <c r="Z72" s="1"/>
    </row>
    <row r="73" spans="1:26" ht="18.75" customHeight="1" x14ac:dyDescent="0.5">
      <c r="A73" s="1"/>
      <c r="B73" s="116"/>
      <c r="C73" s="117"/>
      <c r="D73" s="117"/>
      <c r="E73" s="117"/>
      <c r="F73" s="117"/>
      <c r="G73" s="117"/>
      <c r="H73" s="117"/>
      <c r="I73" s="117"/>
      <c r="J73" s="117"/>
      <c r="K73" s="117"/>
      <c r="L73" s="118"/>
      <c r="M73" s="1"/>
      <c r="N73" s="1"/>
      <c r="O73" s="1"/>
      <c r="P73" s="1"/>
      <c r="Q73" s="1"/>
      <c r="R73" s="1"/>
      <c r="S73" s="1"/>
      <c r="T73" s="1"/>
      <c r="U73" s="1"/>
      <c r="V73" s="1"/>
      <c r="W73" s="1"/>
      <c r="X73" s="1"/>
      <c r="Y73" s="1"/>
      <c r="Z73" s="1"/>
    </row>
    <row r="74" spans="1:26" ht="18.75" customHeight="1" x14ac:dyDescent="0.5">
      <c r="A74" s="1"/>
      <c r="B74" s="116"/>
      <c r="C74" s="117"/>
      <c r="D74" s="117"/>
      <c r="E74" s="117"/>
      <c r="F74" s="117"/>
      <c r="G74" s="117"/>
      <c r="H74" s="117"/>
      <c r="I74" s="117"/>
      <c r="J74" s="117"/>
      <c r="K74" s="117"/>
      <c r="L74" s="118"/>
      <c r="M74" s="1"/>
      <c r="N74" s="1"/>
      <c r="O74" s="1"/>
      <c r="P74" s="1"/>
      <c r="Q74" s="1"/>
      <c r="R74" s="1"/>
      <c r="S74" s="1"/>
      <c r="T74" s="1"/>
      <c r="U74" s="1"/>
      <c r="V74" s="1"/>
      <c r="W74" s="1"/>
      <c r="X74" s="1"/>
      <c r="Y74" s="1"/>
      <c r="Z74" s="1"/>
    </row>
    <row r="75" spans="1:26" ht="18.75" customHeight="1" x14ac:dyDescent="0.5">
      <c r="A75" s="1"/>
      <c r="B75" s="116"/>
      <c r="C75" s="117"/>
      <c r="D75" s="117"/>
      <c r="E75" s="117"/>
      <c r="F75" s="117"/>
      <c r="G75" s="117"/>
      <c r="H75" s="117"/>
      <c r="I75" s="117"/>
      <c r="J75" s="117"/>
      <c r="K75" s="117"/>
      <c r="L75" s="118"/>
      <c r="M75" s="1"/>
      <c r="N75" s="1"/>
      <c r="O75" s="1"/>
      <c r="P75" s="1"/>
      <c r="Q75" s="1"/>
      <c r="R75" s="1"/>
      <c r="S75" s="1"/>
      <c r="T75" s="1"/>
      <c r="U75" s="1"/>
      <c r="V75" s="1"/>
      <c r="W75" s="1"/>
      <c r="X75" s="1"/>
      <c r="Y75" s="1"/>
      <c r="Z75" s="1"/>
    </row>
    <row r="76" spans="1:26" ht="18.75" customHeight="1" x14ac:dyDescent="0.5">
      <c r="A76" s="1"/>
      <c r="B76" s="116"/>
      <c r="C76" s="117"/>
      <c r="D76" s="117"/>
      <c r="E76" s="117"/>
      <c r="F76" s="117"/>
      <c r="G76" s="117"/>
      <c r="H76" s="117"/>
      <c r="I76" s="117"/>
      <c r="J76" s="117"/>
      <c r="K76" s="117"/>
      <c r="L76" s="118"/>
      <c r="M76" s="1"/>
      <c r="N76" s="1"/>
      <c r="O76" s="1"/>
      <c r="P76" s="1"/>
      <c r="Q76" s="1"/>
      <c r="R76" s="1"/>
      <c r="S76" s="1"/>
      <c r="T76" s="1"/>
      <c r="U76" s="1"/>
      <c r="V76" s="1"/>
      <c r="W76" s="1"/>
      <c r="X76" s="1"/>
      <c r="Y76" s="1"/>
      <c r="Z76" s="1"/>
    </row>
    <row r="77" spans="1:26" ht="18.75" customHeight="1" x14ac:dyDescent="0.5">
      <c r="A77" s="1"/>
      <c r="B77" s="116"/>
      <c r="C77" s="117"/>
      <c r="D77" s="117"/>
      <c r="E77" s="117"/>
      <c r="F77" s="117"/>
      <c r="G77" s="117"/>
      <c r="H77" s="117"/>
      <c r="I77" s="117"/>
      <c r="J77" s="117"/>
      <c r="K77" s="117"/>
      <c r="L77" s="118"/>
      <c r="M77" s="1"/>
      <c r="N77" s="1"/>
      <c r="O77" s="1"/>
      <c r="P77" s="1"/>
      <c r="Q77" s="1"/>
      <c r="R77" s="1"/>
      <c r="S77" s="1"/>
      <c r="T77" s="1"/>
      <c r="U77" s="1"/>
      <c r="V77" s="1"/>
      <c r="W77" s="1"/>
      <c r="X77" s="1"/>
      <c r="Y77" s="1"/>
      <c r="Z77" s="1"/>
    </row>
    <row r="78" spans="1:26" ht="18.75" customHeight="1" x14ac:dyDescent="0.5">
      <c r="A78" s="1"/>
      <c r="B78" s="116"/>
      <c r="C78" s="117"/>
      <c r="D78" s="117"/>
      <c r="E78" s="117"/>
      <c r="F78" s="117"/>
      <c r="G78" s="117"/>
      <c r="H78" s="117"/>
      <c r="I78" s="117"/>
      <c r="J78" s="117"/>
      <c r="K78" s="117"/>
      <c r="L78" s="118"/>
      <c r="M78" s="1"/>
      <c r="N78" s="1"/>
      <c r="O78" s="1"/>
      <c r="P78" s="1"/>
      <c r="Q78" s="1"/>
      <c r="R78" s="1"/>
      <c r="S78" s="1"/>
      <c r="T78" s="1"/>
      <c r="U78" s="1"/>
      <c r="V78" s="1"/>
      <c r="W78" s="1"/>
      <c r="X78" s="1"/>
      <c r="Y78" s="1"/>
      <c r="Z78" s="1"/>
    </row>
    <row r="79" spans="1:26" ht="18.75" customHeight="1" x14ac:dyDescent="0.5">
      <c r="A79" s="1"/>
      <c r="B79" s="116"/>
      <c r="C79" s="117"/>
      <c r="D79" s="117"/>
      <c r="E79" s="117"/>
      <c r="F79" s="117"/>
      <c r="G79" s="117"/>
      <c r="H79" s="117"/>
      <c r="I79" s="117"/>
      <c r="J79" s="117"/>
      <c r="K79" s="117"/>
      <c r="L79" s="118"/>
      <c r="M79" s="1"/>
      <c r="N79" s="1"/>
      <c r="O79" s="1"/>
      <c r="P79" s="1"/>
      <c r="Q79" s="1"/>
      <c r="R79" s="1"/>
      <c r="S79" s="1"/>
      <c r="T79" s="1"/>
      <c r="U79" s="1"/>
      <c r="V79" s="1"/>
      <c r="W79" s="1"/>
      <c r="X79" s="1"/>
      <c r="Y79" s="1"/>
      <c r="Z79" s="1"/>
    </row>
    <row r="80" spans="1:26" ht="18.75" customHeight="1" x14ac:dyDescent="0.5">
      <c r="A80" s="1"/>
      <c r="B80" s="116"/>
      <c r="C80" s="117"/>
      <c r="D80" s="117"/>
      <c r="E80" s="117"/>
      <c r="F80" s="117"/>
      <c r="G80" s="117"/>
      <c r="H80" s="117"/>
      <c r="I80" s="117"/>
      <c r="J80" s="117"/>
      <c r="K80" s="117"/>
      <c r="L80" s="118"/>
      <c r="M80" s="1"/>
      <c r="N80" s="1"/>
      <c r="O80" s="1"/>
      <c r="P80" s="1"/>
      <c r="Q80" s="1"/>
      <c r="R80" s="1"/>
      <c r="S80" s="1"/>
      <c r="T80" s="1"/>
      <c r="U80" s="1"/>
      <c r="V80" s="1"/>
      <c r="W80" s="1"/>
      <c r="X80" s="1"/>
      <c r="Y80" s="1"/>
      <c r="Z80" s="1"/>
    </row>
    <row r="81" spans="1:26" ht="18.75" customHeight="1" x14ac:dyDescent="0.5">
      <c r="A81" s="1"/>
      <c r="B81" s="116"/>
      <c r="C81" s="117"/>
      <c r="D81" s="117"/>
      <c r="E81" s="117"/>
      <c r="F81" s="117"/>
      <c r="G81" s="117"/>
      <c r="H81" s="117"/>
      <c r="I81" s="117"/>
      <c r="J81" s="117"/>
      <c r="K81" s="117"/>
      <c r="L81" s="118"/>
      <c r="M81" s="1"/>
      <c r="N81" s="1"/>
      <c r="O81" s="1"/>
      <c r="P81" s="1"/>
      <c r="Q81" s="1"/>
      <c r="R81" s="1"/>
      <c r="S81" s="1"/>
      <c r="T81" s="1"/>
      <c r="U81" s="1"/>
      <c r="V81" s="1"/>
      <c r="W81" s="1"/>
      <c r="X81" s="1"/>
      <c r="Y81" s="1"/>
      <c r="Z81" s="1"/>
    </row>
    <row r="82" spans="1:26" ht="18.75" customHeight="1" x14ac:dyDescent="0.5">
      <c r="A82" s="1"/>
      <c r="B82" s="116"/>
      <c r="C82" s="117"/>
      <c r="D82" s="117"/>
      <c r="E82" s="117"/>
      <c r="F82" s="117"/>
      <c r="G82" s="117"/>
      <c r="H82" s="117"/>
      <c r="I82" s="117"/>
      <c r="J82" s="117"/>
      <c r="K82" s="117"/>
      <c r="L82" s="118"/>
      <c r="M82" s="1"/>
      <c r="N82" s="1"/>
      <c r="O82" s="1"/>
      <c r="P82" s="1"/>
      <c r="Q82" s="1"/>
      <c r="R82" s="1"/>
      <c r="S82" s="1"/>
      <c r="T82" s="1"/>
      <c r="U82" s="1"/>
      <c r="V82" s="1"/>
      <c r="W82" s="1"/>
      <c r="X82" s="1"/>
      <c r="Y82" s="1"/>
      <c r="Z82" s="1"/>
    </row>
    <row r="83" spans="1:26" ht="18.75" customHeight="1" x14ac:dyDescent="0.5">
      <c r="A83" s="1"/>
      <c r="B83" s="116"/>
      <c r="C83" s="117"/>
      <c r="D83" s="117"/>
      <c r="E83" s="117"/>
      <c r="F83" s="117"/>
      <c r="G83" s="117"/>
      <c r="H83" s="117"/>
      <c r="I83" s="117"/>
      <c r="J83" s="117"/>
      <c r="K83" s="117"/>
      <c r="L83" s="118"/>
      <c r="M83" s="1"/>
      <c r="N83" s="1"/>
      <c r="O83" s="1"/>
      <c r="P83" s="1"/>
      <c r="Q83" s="1"/>
      <c r="R83" s="1"/>
      <c r="S83" s="1"/>
      <c r="T83" s="1"/>
      <c r="U83" s="1"/>
      <c r="V83" s="1"/>
      <c r="W83" s="1"/>
      <c r="X83" s="1"/>
      <c r="Y83" s="1"/>
      <c r="Z83" s="1"/>
    </row>
    <row r="84" spans="1:26" ht="18.75" customHeight="1" x14ac:dyDescent="0.5">
      <c r="A84" s="1"/>
      <c r="B84" s="116"/>
      <c r="C84" s="117"/>
      <c r="D84" s="117"/>
      <c r="E84" s="117"/>
      <c r="F84" s="117"/>
      <c r="G84" s="117"/>
      <c r="H84" s="117"/>
      <c r="I84" s="117"/>
      <c r="J84" s="117"/>
      <c r="K84" s="117"/>
      <c r="L84" s="118"/>
      <c r="M84" s="1"/>
      <c r="N84" s="1"/>
      <c r="O84" s="1"/>
      <c r="P84" s="1"/>
      <c r="Q84" s="1"/>
      <c r="R84" s="1"/>
      <c r="S84" s="1"/>
      <c r="T84" s="1"/>
      <c r="U84" s="1"/>
      <c r="V84" s="1"/>
      <c r="W84" s="1"/>
      <c r="X84" s="1"/>
      <c r="Y84" s="1"/>
      <c r="Z84" s="1"/>
    </row>
    <row r="85" spans="1:26" ht="18.75" customHeight="1" x14ac:dyDescent="0.5">
      <c r="A85" s="1"/>
      <c r="B85" s="116"/>
      <c r="C85" s="117"/>
      <c r="D85" s="117"/>
      <c r="E85" s="117"/>
      <c r="F85" s="117"/>
      <c r="G85" s="117"/>
      <c r="H85" s="117"/>
      <c r="I85" s="117"/>
      <c r="J85" s="117"/>
      <c r="K85" s="117"/>
      <c r="L85" s="118"/>
      <c r="M85" s="1"/>
      <c r="N85" s="1"/>
      <c r="O85" s="1"/>
      <c r="P85" s="1"/>
      <c r="Q85" s="1"/>
      <c r="R85" s="1"/>
      <c r="S85" s="1"/>
      <c r="T85" s="1"/>
      <c r="U85" s="1"/>
      <c r="V85" s="1"/>
      <c r="W85" s="1"/>
      <c r="X85" s="1"/>
      <c r="Y85" s="1"/>
      <c r="Z85" s="1"/>
    </row>
    <row r="86" spans="1:26" ht="18.75" customHeight="1" x14ac:dyDescent="0.5">
      <c r="A86" s="1"/>
      <c r="B86" s="116"/>
      <c r="C86" s="117"/>
      <c r="D86" s="117"/>
      <c r="E86" s="117"/>
      <c r="F86" s="117"/>
      <c r="G86" s="117"/>
      <c r="H86" s="117"/>
      <c r="I86" s="117"/>
      <c r="J86" s="117"/>
      <c r="K86" s="117"/>
      <c r="L86" s="118"/>
      <c r="M86" s="1"/>
      <c r="N86" s="1"/>
      <c r="O86" s="1"/>
      <c r="P86" s="1"/>
      <c r="Q86" s="1"/>
      <c r="R86" s="1"/>
      <c r="S86" s="1"/>
      <c r="T86" s="1"/>
      <c r="U86" s="1"/>
      <c r="V86" s="1"/>
      <c r="W86" s="1"/>
      <c r="X86" s="1"/>
      <c r="Y86" s="1"/>
      <c r="Z86" s="1"/>
    </row>
    <row r="87" spans="1:26" ht="18.75" customHeight="1" x14ac:dyDescent="0.5">
      <c r="A87" s="1"/>
      <c r="B87" s="116"/>
      <c r="C87" s="117"/>
      <c r="D87" s="117"/>
      <c r="E87" s="117"/>
      <c r="F87" s="117"/>
      <c r="G87" s="117"/>
      <c r="H87" s="117"/>
      <c r="I87" s="117"/>
      <c r="J87" s="117"/>
      <c r="K87" s="117"/>
      <c r="L87" s="118"/>
      <c r="M87" s="1"/>
      <c r="N87" s="1"/>
      <c r="O87" s="1"/>
      <c r="P87" s="1"/>
      <c r="Q87" s="1"/>
      <c r="R87" s="1"/>
      <c r="S87" s="1"/>
      <c r="T87" s="1"/>
      <c r="U87" s="1"/>
      <c r="V87" s="1"/>
      <c r="W87" s="1"/>
      <c r="X87" s="1"/>
      <c r="Y87" s="1"/>
      <c r="Z87" s="1"/>
    </row>
    <row r="88" spans="1:26" ht="18.75" customHeight="1" x14ac:dyDescent="0.5">
      <c r="A88" s="1"/>
      <c r="B88" s="116"/>
      <c r="C88" s="117"/>
      <c r="D88" s="117"/>
      <c r="E88" s="117"/>
      <c r="F88" s="117"/>
      <c r="G88" s="117"/>
      <c r="H88" s="117"/>
      <c r="I88" s="117"/>
      <c r="J88" s="117"/>
      <c r="K88" s="117"/>
      <c r="L88" s="118"/>
      <c r="M88" s="1"/>
      <c r="N88" s="1"/>
      <c r="O88" s="1"/>
      <c r="P88" s="1"/>
      <c r="Q88" s="1"/>
      <c r="R88" s="1"/>
      <c r="S88" s="1"/>
      <c r="T88" s="1"/>
      <c r="U88" s="1"/>
      <c r="V88" s="1"/>
      <c r="W88" s="1"/>
      <c r="X88" s="1"/>
      <c r="Y88" s="1"/>
      <c r="Z88" s="1"/>
    </row>
    <row r="89" spans="1:26" ht="18.75" customHeight="1" x14ac:dyDescent="0.5">
      <c r="A89" s="1"/>
      <c r="B89" s="116"/>
      <c r="C89" s="117"/>
      <c r="D89" s="117"/>
      <c r="E89" s="117"/>
      <c r="F89" s="117"/>
      <c r="G89" s="117"/>
      <c r="H89" s="117"/>
      <c r="I89" s="117"/>
      <c r="J89" s="117"/>
      <c r="K89" s="117"/>
      <c r="L89" s="118"/>
      <c r="M89" s="1"/>
      <c r="N89" s="1"/>
      <c r="O89" s="1"/>
      <c r="P89" s="1"/>
      <c r="Q89" s="1"/>
      <c r="R89" s="1"/>
      <c r="S89" s="1"/>
      <c r="T89" s="1"/>
      <c r="U89" s="1"/>
      <c r="V89" s="1"/>
      <c r="W89" s="1"/>
      <c r="X89" s="1"/>
      <c r="Y89" s="1"/>
      <c r="Z89" s="1"/>
    </row>
    <row r="90" spans="1:26" ht="18.75" customHeight="1" x14ac:dyDescent="0.5">
      <c r="A90" s="1"/>
      <c r="B90" s="116"/>
      <c r="C90" s="117"/>
      <c r="D90" s="117"/>
      <c r="E90" s="117"/>
      <c r="F90" s="117"/>
      <c r="G90" s="117"/>
      <c r="H90" s="117"/>
      <c r="I90" s="117"/>
      <c r="J90" s="117"/>
      <c r="K90" s="117"/>
      <c r="L90" s="118"/>
      <c r="M90" s="1"/>
      <c r="N90" s="1"/>
      <c r="O90" s="1"/>
      <c r="P90" s="1"/>
      <c r="Q90" s="1"/>
      <c r="R90" s="1"/>
      <c r="S90" s="1"/>
      <c r="T90" s="1"/>
      <c r="U90" s="1"/>
      <c r="V90" s="1"/>
      <c r="W90" s="1"/>
      <c r="X90" s="1"/>
      <c r="Y90" s="1"/>
      <c r="Z90" s="1"/>
    </row>
    <row r="91" spans="1:26" ht="18.75" customHeight="1" x14ac:dyDescent="0.5">
      <c r="A91" s="1"/>
      <c r="B91" s="116"/>
      <c r="C91" s="117"/>
      <c r="D91" s="117"/>
      <c r="E91" s="117"/>
      <c r="F91" s="117"/>
      <c r="G91" s="117"/>
      <c r="H91" s="117"/>
      <c r="I91" s="117"/>
      <c r="J91" s="117"/>
      <c r="K91" s="117"/>
      <c r="L91" s="118"/>
      <c r="M91" s="1"/>
      <c r="N91" s="1"/>
      <c r="O91" s="1"/>
      <c r="P91" s="1"/>
      <c r="Q91" s="1"/>
      <c r="R91" s="1"/>
      <c r="S91" s="1"/>
      <c r="T91" s="1"/>
      <c r="U91" s="1"/>
      <c r="V91" s="1"/>
      <c r="W91" s="1"/>
      <c r="X91" s="1"/>
      <c r="Y91" s="1"/>
      <c r="Z91" s="1"/>
    </row>
    <row r="92" spans="1:26" ht="18.75" customHeight="1" x14ac:dyDescent="0.5">
      <c r="A92" s="1"/>
      <c r="B92" s="116"/>
      <c r="C92" s="117"/>
      <c r="D92" s="117"/>
      <c r="E92" s="117"/>
      <c r="F92" s="117"/>
      <c r="G92" s="117"/>
      <c r="H92" s="117"/>
      <c r="I92" s="117"/>
      <c r="J92" s="117"/>
      <c r="K92" s="117"/>
      <c r="L92" s="118"/>
      <c r="M92" s="1"/>
      <c r="N92" s="1"/>
      <c r="O92" s="1"/>
      <c r="P92" s="1"/>
      <c r="Q92" s="1"/>
      <c r="R92" s="1"/>
      <c r="S92" s="1"/>
      <c r="T92" s="1"/>
      <c r="U92" s="1"/>
      <c r="V92" s="1"/>
      <c r="W92" s="1"/>
      <c r="X92" s="1"/>
      <c r="Y92" s="1"/>
      <c r="Z92" s="1"/>
    </row>
    <row r="93" spans="1:26" ht="18.75" customHeight="1" x14ac:dyDescent="0.5">
      <c r="A93" s="1"/>
      <c r="B93" s="116"/>
      <c r="C93" s="117"/>
      <c r="D93" s="117"/>
      <c r="E93" s="117"/>
      <c r="F93" s="117"/>
      <c r="G93" s="117"/>
      <c r="H93" s="117"/>
      <c r="I93" s="117"/>
      <c r="J93" s="117"/>
      <c r="K93" s="117"/>
      <c r="L93" s="118"/>
      <c r="M93" s="1"/>
      <c r="N93" s="1"/>
      <c r="O93" s="1"/>
      <c r="P93" s="1"/>
      <c r="Q93" s="1"/>
      <c r="R93" s="1"/>
      <c r="S93" s="1"/>
      <c r="T93" s="1"/>
      <c r="U93" s="1"/>
      <c r="V93" s="1"/>
      <c r="W93" s="1"/>
      <c r="X93" s="1"/>
      <c r="Y93" s="1"/>
      <c r="Z93" s="1"/>
    </row>
    <row r="94" spans="1:26" ht="18.75" customHeight="1" x14ac:dyDescent="0.5">
      <c r="A94" s="1"/>
      <c r="B94" s="116"/>
      <c r="C94" s="117"/>
      <c r="D94" s="117"/>
      <c r="E94" s="117"/>
      <c r="F94" s="117"/>
      <c r="G94" s="117"/>
      <c r="H94" s="117"/>
      <c r="I94" s="117"/>
      <c r="J94" s="117"/>
      <c r="K94" s="117"/>
      <c r="L94" s="118"/>
      <c r="M94" s="1"/>
      <c r="N94" s="1"/>
      <c r="O94" s="1"/>
      <c r="P94" s="1"/>
      <c r="Q94" s="1"/>
      <c r="R94" s="1"/>
      <c r="S94" s="1"/>
      <c r="T94" s="1"/>
      <c r="U94" s="1"/>
      <c r="V94" s="1"/>
      <c r="W94" s="1"/>
      <c r="X94" s="1"/>
      <c r="Y94" s="1"/>
      <c r="Z94" s="1"/>
    </row>
    <row r="95" spans="1:26" ht="18.75" customHeight="1" x14ac:dyDescent="0.5">
      <c r="A95" s="1"/>
      <c r="B95" s="116"/>
      <c r="C95" s="117"/>
      <c r="D95" s="117"/>
      <c r="E95" s="117"/>
      <c r="F95" s="117"/>
      <c r="G95" s="117"/>
      <c r="H95" s="117"/>
      <c r="I95" s="117"/>
      <c r="J95" s="117"/>
      <c r="K95" s="117"/>
      <c r="L95" s="118"/>
      <c r="M95" s="1"/>
      <c r="N95" s="1"/>
      <c r="O95" s="1"/>
      <c r="P95" s="1"/>
      <c r="Q95" s="1"/>
      <c r="R95" s="1"/>
      <c r="S95" s="1"/>
      <c r="T95" s="1"/>
      <c r="U95" s="1"/>
      <c r="V95" s="1"/>
      <c r="W95" s="1"/>
      <c r="X95" s="1"/>
      <c r="Y95" s="1"/>
      <c r="Z95" s="1"/>
    </row>
    <row r="96" spans="1:26" ht="18.75" customHeight="1" x14ac:dyDescent="0.5">
      <c r="A96" s="1"/>
      <c r="B96" s="116"/>
      <c r="C96" s="117"/>
      <c r="D96" s="117"/>
      <c r="E96" s="117"/>
      <c r="F96" s="117"/>
      <c r="G96" s="117"/>
      <c r="H96" s="117"/>
      <c r="I96" s="117"/>
      <c r="J96" s="117"/>
      <c r="K96" s="117"/>
      <c r="L96" s="118"/>
      <c r="M96" s="1"/>
      <c r="N96" s="1"/>
      <c r="O96" s="1"/>
      <c r="P96" s="1"/>
      <c r="Q96" s="1"/>
      <c r="R96" s="1"/>
      <c r="S96" s="1"/>
      <c r="T96" s="1"/>
      <c r="U96" s="1"/>
      <c r="V96" s="1"/>
      <c r="W96" s="1"/>
      <c r="X96" s="1"/>
      <c r="Y96" s="1"/>
      <c r="Z96" s="1"/>
    </row>
    <row r="97" spans="1:26" ht="18.75" customHeight="1" x14ac:dyDescent="0.5">
      <c r="A97" s="1"/>
      <c r="B97" s="116"/>
      <c r="C97" s="117"/>
      <c r="D97" s="117"/>
      <c r="E97" s="117"/>
      <c r="F97" s="117"/>
      <c r="G97" s="117"/>
      <c r="H97" s="117"/>
      <c r="I97" s="117"/>
      <c r="J97" s="117"/>
      <c r="K97" s="117"/>
      <c r="L97" s="118"/>
      <c r="M97" s="1"/>
      <c r="N97" s="1"/>
      <c r="O97" s="1"/>
      <c r="P97" s="1"/>
      <c r="Q97" s="1"/>
      <c r="R97" s="1"/>
      <c r="S97" s="1"/>
      <c r="T97" s="1"/>
      <c r="U97" s="1"/>
      <c r="V97" s="1"/>
      <c r="W97" s="1"/>
      <c r="X97" s="1"/>
      <c r="Y97" s="1"/>
      <c r="Z97" s="1"/>
    </row>
    <row r="98" spans="1:26" ht="18.75" customHeight="1" x14ac:dyDescent="0.5">
      <c r="A98" s="1"/>
      <c r="B98" s="116"/>
      <c r="C98" s="117"/>
      <c r="D98" s="117"/>
      <c r="E98" s="117"/>
      <c r="F98" s="117"/>
      <c r="G98" s="117"/>
      <c r="H98" s="117"/>
      <c r="I98" s="117"/>
      <c r="J98" s="117"/>
      <c r="K98" s="117"/>
      <c r="L98" s="118"/>
      <c r="M98" s="1"/>
      <c r="N98" s="1"/>
      <c r="O98" s="1"/>
      <c r="P98" s="1"/>
      <c r="Q98" s="1"/>
      <c r="R98" s="1"/>
      <c r="S98" s="1"/>
      <c r="T98" s="1"/>
      <c r="U98" s="1"/>
      <c r="V98" s="1"/>
      <c r="W98" s="1"/>
      <c r="X98" s="1"/>
      <c r="Y98" s="1"/>
      <c r="Z98" s="1"/>
    </row>
    <row r="99" spans="1:26" ht="18.75" customHeight="1" x14ac:dyDescent="0.5">
      <c r="A99" s="1"/>
      <c r="B99" s="116"/>
      <c r="C99" s="117"/>
      <c r="D99" s="117"/>
      <c r="E99" s="117"/>
      <c r="F99" s="117"/>
      <c r="G99" s="117"/>
      <c r="H99" s="117"/>
      <c r="I99" s="117"/>
      <c r="J99" s="117"/>
      <c r="K99" s="117"/>
      <c r="L99" s="118"/>
      <c r="M99" s="1"/>
      <c r="N99" s="1"/>
      <c r="O99" s="1"/>
      <c r="P99" s="1"/>
      <c r="Q99" s="1"/>
      <c r="R99" s="1"/>
      <c r="S99" s="1"/>
      <c r="T99" s="1"/>
      <c r="U99" s="1"/>
      <c r="V99" s="1"/>
      <c r="W99" s="1"/>
      <c r="X99" s="1"/>
      <c r="Y99" s="1"/>
      <c r="Z99" s="1"/>
    </row>
    <row r="100" spans="1:26" ht="18.75" customHeight="1" x14ac:dyDescent="0.5">
      <c r="A100" s="1"/>
      <c r="B100" s="116"/>
      <c r="C100" s="117"/>
      <c r="D100" s="117"/>
      <c r="E100" s="117"/>
      <c r="F100" s="117"/>
      <c r="G100" s="117"/>
      <c r="H100" s="117"/>
      <c r="I100" s="117"/>
      <c r="J100" s="117"/>
      <c r="K100" s="117"/>
      <c r="L100" s="118"/>
      <c r="M100" s="1"/>
      <c r="N100" s="1"/>
      <c r="O100" s="1"/>
      <c r="P100" s="1"/>
      <c r="Q100" s="1"/>
      <c r="R100" s="1"/>
      <c r="S100" s="1"/>
      <c r="T100" s="1"/>
      <c r="U100" s="1"/>
      <c r="V100" s="1"/>
      <c r="W100" s="1"/>
      <c r="X100" s="1"/>
      <c r="Y100" s="1"/>
      <c r="Z100" s="1"/>
    </row>
    <row r="101" spans="1:26" ht="18.75" customHeight="1" x14ac:dyDescent="0.5">
      <c r="A101" s="1"/>
      <c r="B101" s="116"/>
      <c r="C101" s="117"/>
      <c r="D101" s="117"/>
      <c r="E101" s="117"/>
      <c r="F101" s="117"/>
      <c r="G101" s="117"/>
      <c r="H101" s="117"/>
      <c r="I101" s="117"/>
      <c r="J101" s="117"/>
      <c r="K101" s="117"/>
      <c r="L101" s="118"/>
      <c r="M101" s="1"/>
      <c r="N101" s="1"/>
      <c r="O101" s="1"/>
      <c r="P101" s="1"/>
      <c r="Q101" s="1"/>
      <c r="R101" s="1"/>
      <c r="S101" s="1"/>
      <c r="T101" s="1"/>
      <c r="U101" s="1"/>
      <c r="V101" s="1"/>
      <c r="W101" s="1"/>
      <c r="X101" s="1"/>
      <c r="Y101" s="1"/>
      <c r="Z101" s="1"/>
    </row>
    <row r="102" spans="1:26" ht="18.75" customHeight="1" x14ac:dyDescent="0.5">
      <c r="A102" s="1"/>
      <c r="B102" s="116"/>
      <c r="C102" s="117"/>
      <c r="D102" s="117"/>
      <c r="E102" s="117"/>
      <c r="F102" s="117"/>
      <c r="G102" s="117"/>
      <c r="H102" s="117"/>
      <c r="I102" s="117"/>
      <c r="J102" s="117"/>
      <c r="K102" s="117"/>
      <c r="L102" s="118"/>
      <c r="M102" s="1"/>
      <c r="N102" s="1"/>
      <c r="O102" s="1"/>
      <c r="P102" s="1"/>
      <c r="Q102" s="1"/>
      <c r="R102" s="1"/>
      <c r="S102" s="1"/>
      <c r="T102" s="1"/>
      <c r="U102" s="1"/>
      <c r="V102" s="1"/>
      <c r="W102" s="1"/>
      <c r="X102" s="1"/>
      <c r="Y102" s="1"/>
      <c r="Z102" s="1"/>
    </row>
    <row r="103" spans="1:26" ht="18.75" customHeight="1" x14ac:dyDescent="0.5">
      <c r="A103" s="1"/>
      <c r="B103" s="116"/>
      <c r="C103" s="117"/>
      <c r="D103" s="117"/>
      <c r="E103" s="117"/>
      <c r="F103" s="117"/>
      <c r="G103" s="117"/>
      <c r="H103" s="117"/>
      <c r="I103" s="117"/>
      <c r="J103" s="117"/>
      <c r="K103" s="117"/>
      <c r="L103" s="118"/>
      <c r="M103" s="1"/>
      <c r="N103" s="1"/>
      <c r="O103" s="1"/>
      <c r="P103" s="1"/>
      <c r="Q103" s="1"/>
      <c r="R103" s="1"/>
      <c r="S103" s="1"/>
      <c r="T103" s="1"/>
      <c r="U103" s="1"/>
      <c r="V103" s="1"/>
      <c r="W103" s="1"/>
      <c r="X103" s="1"/>
      <c r="Y103" s="1"/>
      <c r="Z103" s="1"/>
    </row>
    <row r="104" spans="1:26" ht="18.75" customHeight="1" x14ac:dyDescent="0.5">
      <c r="A104" s="1"/>
      <c r="B104" s="116"/>
      <c r="C104" s="117"/>
      <c r="D104" s="117"/>
      <c r="E104" s="117"/>
      <c r="F104" s="117"/>
      <c r="G104" s="117"/>
      <c r="H104" s="117"/>
      <c r="I104" s="117"/>
      <c r="J104" s="117"/>
      <c r="K104" s="117"/>
      <c r="L104" s="118"/>
      <c r="M104" s="1"/>
      <c r="N104" s="1"/>
      <c r="O104" s="1"/>
      <c r="P104" s="1"/>
      <c r="Q104" s="1"/>
      <c r="R104" s="1"/>
      <c r="S104" s="1"/>
      <c r="T104" s="1"/>
      <c r="U104" s="1"/>
      <c r="V104" s="1"/>
      <c r="W104" s="1"/>
      <c r="X104" s="1"/>
      <c r="Y104" s="1"/>
      <c r="Z104" s="1"/>
    </row>
    <row r="105" spans="1:26" ht="18.75" customHeight="1" x14ac:dyDescent="0.5">
      <c r="A105" s="1"/>
      <c r="B105" s="116"/>
      <c r="C105" s="117"/>
      <c r="D105" s="117"/>
      <c r="E105" s="117"/>
      <c r="F105" s="117"/>
      <c r="G105" s="117"/>
      <c r="H105" s="117"/>
      <c r="I105" s="117"/>
      <c r="J105" s="117"/>
      <c r="K105" s="117"/>
      <c r="L105" s="118"/>
      <c r="M105" s="1"/>
      <c r="N105" s="1"/>
      <c r="O105" s="1"/>
      <c r="P105" s="1"/>
      <c r="Q105" s="1"/>
      <c r="R105" s="1"/>
      <c r="S105" s="1"/>
      <c r="T105" s="1"/>
      <c r="U105" s="1"/>
      <c r="V105" s="1"/>
      <c r="W105" s="1"/>
      <c r="X105" s="1"/>
      <c r="Y105" s="1"/>
      <c r="Z105" s="1"/>
    </row>
    <row r="106" spans="1:26" ht="18.75" customHeight="1" x14ac:dyDescent="0.5">
      <c r="A106" s="1"/>
      <c r="B106" s="116"/>
      <c r="C106" s="117"/>
      <c r="D106" s="117"/>
      <c r="E106" s="117"/>
      <c r="F106" s="117"/>
      <c r="G106" s="117"/>
      <c r="H106" s="117"/>
      <c r="I106" s="117"/>
      <c r="J106" s="117"/>
      <c r="K106" s="117"/>
      <c r="L106" s="118"/>
      <c r="M106" s="1"/>
      <c r="N106" s="1"/>
      <c r="O106" s="1"/>
      <c r="P106" s="1"/>
      <c r="Q106" s="1"/>
      <c r="R106" s="1"/>
      <c r="S106" s="1"/>
      <c r="T106" s="1"/>
      <c r="U106" s="1"/>
      <c r="V106" s="1"/>
      <c r="W106" s="1"/>
      <c r="X106" s="1"/>
      <c r="Y106" s="1"/>
      <c r="Z106" s="1"/>
    </row>
    <row r="107" spans="1:26" ht="18.75" customHeight="1" x14ac:dyDescent="0.5">
      <c r="A107" s="1"/>
      <c r="B107" s="116"/>
      <c r="C107" s="117"/>
      <c r="D107" s="117"/>
      <c r="E107" s="117"/>
      <c r="F107" s="117"/>
      <c r="G107" s="117"/>
      <c r="H107" s="117"/>
      <c r="I107" s="117"/>
      <c r="J107" s="117"/>
      <c r="K107" s="117"/>
      <c r="L107" s="118"/>
      <c r="M107" s="1"/>
      <c r="N107" s="1"/>
      <c r="O107" s="1"/>
      <c r="P107" s="1"/>
      <c r="Q107" s="1"/>
      <c r="R107" s="1"/>
      <c r="S107" s="1"/>
      <c r="T107" s="1"/>
      <c r="U107" s="1"/>
      <c r="V107" s="1"/>
      <c r="W107" s="1"/>
      <c r="X107" s="1"/>
      <c r="Y107" s="1"/>
      <c r="Z107" s="1"/>
    </row>
    <row r="108" spans="1:26" ht="18.75" customHeight="1" x14ac:dyDescent="0.5">
      <c r="A108" s="1"/>
      <c r="B108" s="116"/>
      <c r="C108" s="117"/>
      <c r="D108" s="117"/>
      <c r="E108" s="117"/>
      <c r="F108" s="117"/>
      <c r="G108" s="117"/>
      <c r="H108" s="117"/>
      <c r="I108" s="117"/>
      <c r="J108" s="117"/>
      <c r="K108" s="117"/>
      <c r="L108" s="118"/>
      <c r="M108" s="1"/>
      <c r="N108" s="1"/>
      <c r="O108" s="1"/>
      <c r="P108" s="1"/>
      <c r="Q108" s="1"/>
      <c r="R108" s="1"/>
      <c r="S108" s="1"/>
      <c r="T108" s="1"/>
      <c r="U108" s="1"/>
      <c r="V108" s="1"/>
      <c r="W108" s="1"/>
      <c r="X108" s="1"/>
      <c r="Y108" s="1"/>
      <c r="Z108" s="1"/>
    </row>
    <row r="109" spans="1:26" ht="18.75" customHeight="1" x14ac:dyDescent="0.5">
      <c r="A109" s="1"/>
      <c r="B109" s="116"/>
      <c r="C109" s="117"/>
      <c r="D109" s="117"/>
      <c r="E109" s="117"/>
      <c r="F109" s="117"/>
      <c r="G109" s="117"/>
      <c r="H109" s="117"/>
      <c r="I109" s="117"/>
      <c r="J109" s="117"/>
      <c r="K109" s="117"/>
      <c r="L109" s="118"/>
      <c r="M109" s="1"/>
      <c r="N109" s="1"/>
      <c r="O109" s="1"/>
      <c r="P109" s="1"/>
      <c r="Q109" s="1"/>
      <c r="R109" s="1"/>
      <c r="S109" s="1"/>
      <c r="T109" s="1"/>
      <c r="U109" s="1"/>
      <c r="V109" s="1"/>
      <c r="W109" s="1"/>
      <c r="X109" s="1"/>
      <c r="Y109" s="1"/>
      <c r="Z109" s="1"/>
    </row>
    <row r="110" spans="1:26" ht="18.75" customHeight="1" x14ac:dyDescent="0.5">
      <c r="A110" s="1"/>
      <c r="B110" s="116"/>
      <c r="C110" s="117"/>
      <c r="D110" s="117"/>
      <c r="E110" s="117"/>
      <c r="F110" s="117"/>
      <c r="G110" s="117"/>
      <c r="H110" s="117"/>
      <c r="I110" s="117"/>
      <c r="J110" s="117"/>
      <c r="K110" s="117"/>
      <c r="L110" s="118"/>
      <c r="M110" s="1"/>
      <c r="N110" s="1"/>
      <c r="O110" s="1"/>
      <c r="P110" s="1"/>
      <c r="Q110" s="1"/>
      <c r="R110" s="1"/>
      <c r="S110" s="1"/>
      <c r="T110" s="1"/>
      <c r="U110" s="1"/>
      <c r="V110" s="1"/>
      <c r="W110" s="1"/>
      <c r="X110" s="1"/>
      <c r="Y110" s="1"/>
      <c r="Z110" s="1"/>
    </row>
    <row r="111" spans="1:26" ht="18.75" customHeight="1" x14ac:dyDescent="0.5">
      <c r="A111" s="1"/>
      <c r="B111" s="116"/>
      <c r="C111" s="117"/>
      <c r="D111" s="117"/>
      <c r="E111" s="117"/>
      <c r="F111" s="117"/>
      <c r="G111" s="117"/>
      <c r="H111" s="117"/>
      <c r="I111" s="117"/>
      <c r="J111" s="117"/>
      <c r="K111" s="117"/>
      <c r="L111" s="118"/>
      <c r="M111" s="1"/>
      <c r="N111" s="1"/>
      <c r="O111" s="1"/>
      <c r="P111" s="1"/>
      <c r="Q111" s="1"/>
      <c r="R111" s="1"/>
      <c r="S111" s="1"/>
      <c r="T111" s="1"/>
      <c r="U111" s="1"/>
      <c r="V111" s="1"/>
      <c r="W111" s="1"/>
      <c r="X111" s="1"/>
      <c r="Y111" s="1"/>
      <c r="Z111" s="1"/>
    </row>
    <row r="112" spans="1:26" ht="18.75" customHeight="1" x14ac:dyDescent="0.5">
      <c r="A112" s="1"/>
      <c r="B112" s="116"/>
      <c r="C112" s="117"/>
      <c r="D112" s="117"/>
      <c r="E112" s="117"/>
      <c r="F112" s="117"/>
      <c r="G112" s="117"/>
      <c r="H112" s="117"/>
      <c r="I112" s="117"/>
      <c r="J112" s="117"/>
      <c r="K112" s="117"/>
      <c r="L112" s="118"/>
      <c r="M112" s="1"/>
      <c r="N112" s="1"/>
      <c r="O112" s="1"/>
      <c r="P112" s="1"/>
      <c r="Q112" s="1"/>
      <c r="R112" s="1"/>
      <c r="S112" s="1"/>
      <c r="T112" s="1"/>
      <c r="U112" s="1"/>
      <c r="V112" s="1"/>
      <c r="W112" s="1"/>
      <c r="X112" s="1"/>
      <c r="Y112" s="1"/>
      <c r="Z112" s="1"/>
    </row>
    <row r="113" spans="1:26" ht="18.75" customHeight="1" x14ac:dyDescent="0.5">
      <c r="A113" s="1"/>
      <c r="B113" s="116"/>
      <c r="C113" s="117"/>
      <c r="D113" s="117"/>
      <c r="E113" s="117"/>
      <c r="F113" s="117"/>
      <c r="G113" s="117"/>
      <c r="H113" s="117"/>
      <c r="I113" s="117"/>
      <c r="J113" s="117"/>
      <c r="K113" s="117"/>
      <c r="L113" s="118"/>
      <c r="M113" s="1"/>
      <c r="N113" s="1"/>
      <c r="O113" s="1"/>
      <c r="P113" s="1"/>
      <c r="Q113" s="1"/>
      <c r="R113" s="1"/>
      <c r="S113" s="1"/>
      <c r="T113" s="1"/>
      <c r="U113" s="1"/>
      <c r="V113" s="1"/>
      <c r="W113" s="1"/>
      <c r="X113" s="1"/>
      <c r="Y113" s="1"/>
      <c r="Z113" s="1"/>
    </row>
    <row r="114" spans="1:26" ht="18.75" customHeight="1" x14ac:dyDescent="0.5">
      <c r="A114" s="1"/>
      <c r="B114" s="116"/>
      <c r="C114" s="117"/>
      <c r="D114" s="117"/>
      <c r="E114" s="117"/>
      <c r="F114" s="117"/>
      <c r="G114" s="117"/>
      <c r="H114" s="117"/>
      <c r="I114" s="117"/>
      <c r="J114" s="117"/>
      <c r="K114" s="117"/>
      <c r="L114" s="118"/>
      <c r="M114" s="1"/>
      <c r="N114" s="1"/>
      <c r="O114" s="1"/>
      <c r="P114" s="1"/>
      <c r="Q114" s="1"/>
      <c r="R114" s="1"/>
      <c r="S114" s="1"/>
      <c r="T114" s="1"/>
      <c r="U114" s="1"/>
      <c r="V114" s="1"/>
      <c r="W114" s="1"/>
      <c r="X114" s="1"/>
      <c r="Y114" s="1"/>
      <c r="Z114" s="1"/>
    </row>
    <row r="115" spans="1:26" ht="18.75" customHeight="1" x14ac:dyDescent="0.5">
      <c r="A115" s="1"/>
      <c r="B115" s="116"/>
      <c r="C115" s="117"/>
      <c r="D115" s="117"/>
      <c r="E115" s="117"/>
      <c r="F115" s="117"/>
      <c r="G115" s="117"/>
      <c r="H115" s="117"/>
      <c r="I115" s="117"/>
      <c r="J115" s="117"/>
      <c r="K115" s="117"/>
      <c r="L115" s="118"/>
      <c r="M115" s="1"/>
      <c r="N115" s="1"/>
      <c r="O115" s="1"/>
      <c r="P115" s="1"/>
      <c r="Q115" s="1"/>
      <c r="R115" s="1"/>
      <c r="S115" s="1"/>
      <c r="T115" s="1"/>
      <c r="U115" s="1"/>
      <c r="V115" s="1"/>
      <c r="W115" s="1"/>
      <c r="X115" s="1"/>
      <c r="Y115" s="1"/>
      <c r="Z115" s="1"/>
    </row>
    <row r="116" spans="1:26" ht="18.75" customHeight="1" x14ac:dyDescent="0.5">
      <c r="A116" s="1"/>
      <c r="B116" s="116"/>
      <c r="C116" s="117"/>
      <c r="D116" s="117"/>
      <c r="E116" s="117"/>
      <c r="F116" s="117"/>
      <c r="G116" s="117"/>
      <c r="H116" s="117"/>
      <c r="I116" s="117"/>
      <c r="J116" s="117"/>
      <c r="K116" s="117"/>
      <c r="L116" s="118"/>
      <c r="M116" s="1"/>
      <c r="N116" s="1"/>
      <c r="O116" s="1"/>
      <c r="P116" s="1"/>
      <c r="Q116" s="1"/>
      <c r="R116" s="1"/>
      <c r="S116" s="1"/>
      <c r="T116" s="1"/>
      <c r="U116" s="1"/>
      <c r="V116" s="1"/>
      <c r="W116" s="1"/>
      <c r="X116" s="1"/>
      <c r="Y116" s="1"/>
      <c r="Z116" s="1"/>
    </row>
    <row r="117" spans="1:26" ht="18.75" customHeight="1" x14ac:dyDescent="0.5">
      <c r="A117" s="1"/>
      <c r="B117" s="116"/>
      <c r="C117" s="117"/>
      <c r="D117" s="117"/>
      <c r="E117" s="117"/>
      <c r="F117" s="117"/>
      <c r="G117" s="117"/>
      <c r="H117" s="117"/>
      <c r="I117" s="117"/>
      <c r="J117" s="117"/>
      <c r="K117" s="117"/>
      <c r="L117" s="118"/>
      <c r="M117" s="1"/>
      <c r="N117" s="1"/>
      <c r="O117" s="1"/>
      <c r="P117" s="1"/>
      <c r="Q117" s="1"/>
      <c r="R117" s="1"/>
      <c r="S117" s="1"/>
      <c r="T117" s="1"/>
      <c r="U117" s="1"/>
      <c r="V117" s="1"/>
      <c r="W117" s="1"/>
      <c r="X117" s="1"/>
      <c r="Y117" s="1"/>
      <c r="Z117" s="1"/>
    </row>
    <row r="118" spans="1:26" ht="18.75" customHeight="1" x14ac:dyDescent="0.5">
      <c r="A118" s="1"/>
      <c r="B118" s="116"/>
      <c r="C118" s="117"/>
      <c r="D118" s="117"/>
      <c r="E118" s="117"/>
      <c r="F118" s="117"/>
      <c r="G118" s="117"/>
      <c r="H118" s="117"/>
      <c r="I118" s="117"/>
      <c r="J118" s="117"/>
      <c r="K118" s="117"/>
      <c r="L118" s="118"/>
      <c r="M118" s="1"/>
      <c r="N118" s="1"/>
      <c r="O118" s="1"/>
      <c r="P118" s="1"/>
      <c r="Q118" s="1"/>
      <c r="R118" s="1"/>
      <c r="S118" s="1"/>
      <c r="T118" s="1"/>
      <c r="U118" s="1"/>
      <c r="V118" s="1"/>
      <c r="W118" s="1"/>
      <c r="X118" s="1"/>
      <c r="Y118" s="1"/>
      <c r="Z118" s="1"/>
    </row>
    <row r="119" spans="1:26" ht="18.75" customHeight="1" x14ac:dyDescent="0.5">
      <c r="A119" s="1"/>
      <c r="B119" s="116"/>
      <c r="C119" s="117"/>
      <c r="D119" s="117"/>
      <c r="E119" s="117"/>
      <c r="F119" s="117"/>
      <c r="G119" s="117"/>
      <c r="H119" s="117"/>
      <c r="I119" s="117"/>
      <c r="J119" s="117"/>
      <c r="K119" s="117"/>
      <c r="L119" s="118"/>
      <c r="M119" s="1"/>
      <c r="N119" s="1"/>
      <c r="O119" s="1"/>
      <c r="P119" s="1"/>
      <c r="Q119" s="1"/>
      <c r="R119" s="1"/>
      <c r="S119" s="1"/>
      <c r="T119" s="1"/>
      <c r="U119" s="1"/>
      <c r="V119" s="1"/>
      <c r="W119" s="1"/>
      <c r="X119" s="1"/>
      <c r="Y119" s="1"/>
      <c r="Z119" s="1"/>
    </row>
    <row r="120" spans="1:26" ht="18.75" customHeight="1" x14ac:dyDescent="0.5">
      <c r="A120" s="1"/>
      <c r="B120" s="116"/>
      <c r="C120" s="117"/>
      <c r="D120" s="117"/>
      <c r="E120" s="117"/>
      <c r="F120" s="117"/>
      <c r="G120" s="117"/>
      <c r="H120" s="117"/>
      <c r="I120" s="117"/>
      <c r="J120" s="117"/>
      <c r="K120" s="117"/>
      <c r="L120" s="118"/>
      <c r="M120" s="1"/>
      <c r="N120" s="1"/>
      <c r="O120" s="1"/>
      <c r="P120" s="1"/>
      <c r="Q120" s="1"/>
      <c r="R120" s="1"/>
      <c r="S120" s="1"/>
      <c r="T120" s="1"/>
      <c r="U120" s="1"/>
      <c r="V120" s="1"/>
      <c r="W120" s="1"/>
      <c r="X120" s="1"/>
      <c r="Y120" s="1"/>
      <c r="Z120" s="1"/>
    </row>
    <row r="121" spans="1:26" ht="18.75" customHeight="1" x14ac:dyDescent="0.5">
      <c r="A121" s="1"/>
      <c r="B121" s="116"/>
      <c r="C121" s="117"/>
      <c r="D121" s="117"/>
      <c r="E121" s="117"/>
      <c r="F121" s="117"/>
      <c r="G121" s="117"/>
      <c r="H121" s="117"/>
      <c r="I121" s="117"/>
      <c r="J121" s="117"/>
      <c r="K121" s="117"/>
      <c r="L121" s="118"/>
      <c r="M121" s="1"/>
      <c r="N121" s="1"/>
      <c r="O121" s="1"/>
      <c r="P121" s="1"/>
      <c r="Q121" s="1"/>
      <c r="R121" s="1"/>
      <c r="S121" s="1"/>
      <c r="T121" s="1"/>
      <c r="U121" s="1"/>
      <c r="V121" s="1"/>
      <c r="W121" s="1"/>
      <c r="X121" s="1"/>
      <c r="Y121" s="1"/>
      <c r="Z121" s="1"/>
    </row>
    <row r="122" spans="1:26" ht="18.75" customHeight="1" x14ac:dyDescent="0.5">
      <c r="A122" s="1"/>
      <c r="B122" s="116"/>
      <c r="C122" s="117"/>
      <c r="D122" s="117"/>
      <c r="E122" s="117"/>
      <c r="F122" s="117"/>
      <c r="G122" s="117"/>
      <c r="H122" s="117"/>
      <c r="I122" s="117"/>
      <c r="J122" s="117"/>
      <c r="K122" s="117"/>
      <c r="L122" s="118"/>
      <c r="M122" s="1"/>
      <c r="N122" s="1"/>
      <c r="O122" s="1"/>
      <c r="P122" s="1"/>
      <c r="Q122" s="1"/>
      <c r="R122" s="1"/>
      <c r="S122" s="1"/>
      <c r="T122" s="1"/>
      <c r="U122" s="1"/>
      <c r="V122" s="1"/>
      <c r="W122" s="1"/>
      <c r="X122" s="1"/>
      <c r="Y122" s="1"/>
      <c r="Z122" s="1"/>
    </row>
    <row r="123" spans="1:26" ht="18.75" customHeight="1" x14ac:dyDescent="0.5">
      <c r="A123" s="1"/>
      <c r="B123" s="116"/>
      <c r="C123" s="117"/>
      <c r="D123" s="117"/>
      <c r="E123" s="117"/>
      <c r="F123" s="117"/>
      <c r="G123" s="117"/>
      <c r="H123" s="117"/>
      <c r="I123" s="117"/>
      <c r="J123" s="117"/>
      <c r="K123" s="117"/>
      <c r="L123" s="118"/>
      <c r="M123" s="1"/>
      <c r="N123" s="1"/>
      <c r="O123" s="1"/>
      <c r="P123" s="1"/>
      <c r="Q123" s="1"/>
      <c r="R123" s="1"/>
      <c r="S123" s="1"/>
      <c r="T123" s="1"/>
      <c r="U123" s="1"/>
      <c r="V123" s="1"/>
      <c r="W123" s="1"/>
      <c r="X123" s="1"/>
      <c r="Y123" s="1"/>
      <c r="Z123" s="1"/>
    </row>
    <row r="124" spans="1:26" ht="18.75" customHeight="1" x14ac:dyDescent="0.5">
      <c r="A124" s="1"/>
      <c r="B124" s="116"/>
      <c r="C124" s="117"/>
      <c r="D124" s="117"/>
      <c r="E124" s="117"/>
      <c r="F124" s="117"/>
      <c r="G124" s="117"/>
      <c r="H124" s="117"/>
      <c r="I124" s="117"/>
      <c r="J124" s="117"/>
      <c r="K124" s="117"/>
      <c r="L124" s="118"/>
      <c r="M124" s="1"/>
      <c r="N124" s="1"/>
      <c r="O124" s="1"/>
      <c r="P124" s="1"/>
      <c r="Q124" s="1"/>
      <c r="R124" s="1"/>
      <c r="S124" s="1"/>
      <c r="T124" s="1"/>
      <c r="U124" s="1"/>
      <c r="V124" s="1"/>
      <c r="W124" s="1"/>
      <c r="X124" s="1"/>
      <c r="Y124" s="1"/>
      <c r="Z124" s="1"/>
    </row>
    <row r="125" spans="1:26" ht="18.75" customHeight="1" x14ac:dyDescent="0.5">
      <c r="A125" s="1"/>
      <c r="B125" s="116"/>
      <c r="C125" s="117"/>
      <c r="D125" s="117"/>
      <c r="E125" s="117"/>
      <c r="F125" s="117"/>
      <c r="G125" s="117"/>
      <c r="H125" s="117"/>
      <c r="I125" s="117"/>
      <c r="J125" s="117"/>
      <c r="K125" s="117"/>
      <c r="L125" s="118"/>
      <c r="M125" s="1"/>
      <c r="N125" s="1"/>
      <c r="O125" s="1"/>
      <c r="P125" s="1"/>
      <c r="Q125" s="1"/>
      <c r="R125" s="1"/>
      <c r="S125" s="1"/>
      <c r="T125" s="1"/>
      <c r="U125" s="1"/>
      <c r="V125" s="1"/>
      <c r="W125" s="1"/>
      <c r="X125" s="1"/>
      <c r="Y125" s="1"/>
      <c r="Z125" s="1"/>
    </row>
    <row r="126" spans="1:26" ht="18.75" customHeight="1" x14ac:dyDescent="0.5">
      <c r="A126" s="1"/>
      <c r="B126" s="116"/>
      <c r="C126" s="117"/>
      <c r="D126" s="117"/>
      <c r="E126" s="117"/>
      <c r="F126" s="117"/>
      <c r="G126" s="117"/>
      <c r="H126" s="117"/>
      <c r="I126" s="117"/>
      <c r="J126" s="117"/>
      <c r="K126" s="117"/>
      <c r="L126" s="118"/>
      <c r="M126" s="1"/>
      <c r="N126" s="1"/>
      <c r="O126" s="1"/>
      <c r="P126" s="1"/>
      <c r="Q126" s="1"/>
      <c r="R126" s="1"/>
      <c r="S126" s="1"/>
      <c r="T126" s="1"/>
      <c r="U126" s="1"/>
      <c r="V126" s="1"/>
      <c r="W126" s="1"/>
      <c r="X126" s="1"/>
      <c r="Y126" s="1"/>
      <c r="Z126" s="1"/>
    </row>
    <row r="127" spans="1:26" ht="18.75" customHeight="1" x14ac:dyDescent="0.5">
      <c r="A127" s="1"/>
      <c r="B127" s="116"/>
      <c r="C127" s="117"/>
      <c r="D127" s="117"/>
      <c r="E127" s="117"/>
      <c r="F127" s="117"/>
      <c r="G127" s="117"/>
      <c r="H127" s="117"/>
      <c r="I127" s="117"/>
      <c r="J127" s="117"/>
      <c r="K127" s="117"/>
      <c r="L127" s="118"/>
      <c r="M127" s="1"/>
      <c r="N127" s="1"/>
      <c r="O127" s="1"/>
      <c r="P127" s="1"/>
      <c r="Q127" s="1"/>
      <c r="R127" s="1"/>
      <c r="S127" s="1"/>
      <c r="T127" s="1"/>
      <c r="U127" s="1"/>
      <c r="V127" s="1"/>
      <c r="W127" s="1"/>
      <c r="X127" s="1"/>
      <c r="Y127" s="1"/>
      <c r="Z127" s="1"/>
    </row>
    <row r="128" spans="1:26" ht="18.75" customHeight="1" x14ac:dyDescent="0.5">
      <c r="A128" s="1"/>
      <c r="B128" s="116"/>
      <c r="C128" s="117"/>
      <c r="D128" s="117"/>
      <c r="E128" s="117"/>
      <c r="F128" s="117"/>
      <c r="G128" s="117"/>
      <c r="H128" s="117"/>
      <c r="I128" s="117"/>
      <c r="J128" s="117"/>
      <c r="K128" s="117"/>
      <c r="L128" s="118"/>
      <c r="M128" s="1"/>
      <c r="N128" s="1"/>
      <c r="O128" s="1"/>
      <c r="P128" s="1"/>
      <c r="Q128" s="1"/>
      <c r="R128" s="1"/>
      <c r="S128" s="1"/>
      <c r="T128" s="1"/>
      <c r="U128" s="1"/>
      <c r="V128" s="1"/>
      <c r="W128" s="1"/>
      <c r="X128" s="1"/>
      <c r="Y128" s="1"/>
      <c r="Z128" s="1"/>
    </row>
    <row r="129" spans="1:26" ht="18.75" customHeight="1" x14ac:dyDescent="0.5">
      <c r="A129" s="1"/>
      <c r="B129" s="116"/>
      <c r="C129" s="117"/>
      <c r="D129" s="117"/>
      <c r="E129" s="117"/>
      <c r="F129" s="117"/>
      <c r="G129" s="117"/>
      <c r="H129" s="117"/>
      <c r="I129" s="117"/>
      <c r="J129" s="117"/>
      <c r="K129" s="117"/>
      <c r="L129" s="118"/>
      <c r="M129" s="1"/>
      <c r="N129" s="1"/>
      <c r="O129" s="1"/>
      <c r="P129" s="1"/>
      <c r="Q129" s="1"/>
      <c r="R129" s="1"/>
      <c r="S129" s="1"/>
      <c r="T129" s="1"/>
      <c r="U129" s="1"/>
      <c r="V129" s="1"/>
      <c r="W129" s="1"/>
      <c r="X129" s="1"/>
      <c r="Y129" s="1"/>
      <c r="Z129" s="1"/>
    </row>
    <row r="130" spans="1:26" ht="18.75" customHeight="1" thickBot="1" x14ac:dyDescent="0.55000000000000004">
      <c r="A130" s="1"/>
      <c r="B130" s="119"/>
      <c r="C130" s="120"/>
      <c r="D130" s="120"/>
      <c r="E130" s="120"/>
      <c r="F130" s="120"/>
      <c r="G130" s="120"/>
      <c r="H130" s="120"/>
      <c r="I130" s="120"/>
      <c r="J130" s="120"/>
      <c r="K130" s="120"/>
      <c r="L130" s="121"/>
      <c r="M130" s="1"/>
      <c r="N130" s="1"/>
      <c r="O130" s="1"/>
      <c r="P130" s="1"/>
      <c r="Q130" s="1"/>
      <c r="R130" s="1"/>
      <c r="S130" s="1"/>
      <c r="T130" s="1"/>
      <c r="U130" s="1"/>
      <c r="V130" s="1"/>
      <c r="W130" s="1"/>
      <c r="X130" s="1"/>
      <c r="Y130" s="1"/>
      <c r="Z130" s="1"/>
    </row>
    <row r="131" spans="1:26" ht="15.75" customHeight="1"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x14ac:dyDescent="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x14ac:dyDescent="0.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x14ac:dyDescent="0.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x14ac:dyDescent="0.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x14ac:dyDescent="0.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x14ac:dyDescent="0.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x14ac:dyDescent="0.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x14ac:dyDescent="0.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x14ac:dyDescent="0.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x14ac:dyDescent="0.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x14ac:dyDescent="0.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x14ac:dyDescent="0.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x14ac:dyDescent="0.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customHeight="1" x14ac:dyDescent="0.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customHeight="1" x14ac:dyDescent="0.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customHeight="1" x14ac:dyDescent="0.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customHeight="1" x14ac:dyDescent="0.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customHeight="1" x14ac:dyDescent="0.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customHeight="1" x14ac:dyDescent="0.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75" customHeight="1" x14ac:dyDescent="0.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75" customHeight="1" x14ac:dyDescent="0.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75" customHeight="1" x14ac:dyDescent="0.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75" customHeight="1" x14ac:dyDescent="0.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75" customHeight="1" x14ac:dyDescent="0.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75" customHeight="1" x14ac:dyDescent="0.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75" customHeight="1" x14ac:dyDescent="0.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75" customHeight="1" x14ac:dyDescent="0.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75" customHeight="1" x14ac:dyDescent="0.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75" customHeight="1" x14ac:dyDescent="0.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75" customHeight="1" x14ac:dyDescent="0.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75" customHeight="1" x14ac:dyDescent="0.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75" customHeight="1" x14ac:dyDescent="0.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75" customHeight="1" x14ac:dyDescent="0.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75" customHeight="1" x14ac:dyDescent="0.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75" customHeight="1" x14ac:dyDescent="0.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75" customHeight="1" x14ac:dyDescent="0.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75" customHeight="1" x14ac:dyDescent="0.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75" customHeight="1" x14ac:dyDescent="0.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75" customHeight="1" x14ac:dyDescent="0.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sheetData>
  <mergeCells count="35">
    <mergeCell ref="B37:C42"/>
    <mergeCell ref="D37:L42"/>
    <mergeCell ref="B62:L62"/>
    <mergeCell ref="B63:L130"/>
    <mergeCell ref="B3:C3"/>
    <mergeCell ref="D3:L3"/>
    <mergeCell ref="B34:C34"/>
    <mergeCell ref="D34:L34"/>
    <mergeCell ref="B43:C48"/>
    <mergeCell ref="D43:L48"/>
    <mergeCell ref="B49:C54"/>
    <mergeCell ref="D49:L54"/>
    <mergeCell ref="B55:C60"/>
    <mergeCell ref="D55:L60"/>
    <mergeCell ref="B4:C4"/>
    <mergeCell ref="D4:L4"/>
    <mergeCell ref="B36:L36"/>
    <mergeCell ref="B9:C14"/>
    <mergeCell ref="D9:L14"/>
    <mergeCell ref="B15:C20"/>
    <mergeCell ref="D15:L20"/>
    <mergeCell ref="B21:C21"/>
    <mergeCell ref="D21:L21"/>
    <mergeCell ref="B22:C27"/>
    <mergeCell ref="D22:L27"/>
    <mergeCell ref="B28:C33"/>
    <mergeCell ref="D28:L33"/>
    <mergeCell ref="D7:L7"/>
    <mergeCell ref="B8:C8"/>
    <mergeCell ref="D8:L8"/>
    <mergeCell ref="B5:C5"/>
    <mergeCell ref="D5:L5"/>
    <mergeCell ref="B6:C6"/>
    <mergeCell ref="D6:L6"/>
    <mergeCell ref="B7:C7"/>
  </mergeCells>
  <phoneticPr fontId="1"/>
  <pageMargins left="0.7" right="0.7" top="0.75" bottom="0.75" header="0" footer="0"/>
  <pageSetup paperSize="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F9BE-DD60-4D41-815B-11E8AABFA190}">
  <sheetPr>
    <pageSetUpPr fitToPage="1"/>
  </sheetPr>
  <dimension ref="A1:L40"/>
  <sheetViews>
    <sheetView showGridLines="0" topLeftCell="A10" zoomScale="85" zoomScaleNormal="85" workbookViewId="0">
      <selection activeCell="H21" sqref="H21"/>
    </sheetView>
  </sheetViews>
  <sheetFormatPr defaultColWidth="6.453125" defaultRowHeight="15" x14ac:dyDescent="0.35"/>
  <cols>
    <col min="1" max="1" width="6.81640625" style="11" customWidth="1"/>
    <col min="2" max="2" width="57.81640625" style="12" customWidth="1"/>
    <col min="3" max="3" width="15.81640625" style="13" bestFit="1" customWidth="1"/>
    <col min="4" max="5" width="19" style="13" customWidth="1"/>
    <col min="6" max="6" width="8.7265625" style="13" customWidth="1"/>
    <col min="7" max="7" width="19" style="13" customWidth="1"/>
    <col min="8" max="8" width="19" style="45" customWidth="1"/>
    <col min="9" max="9" width="8.7265625" style="45" customWidth="1"/>
    <col min="10" max="10" width="26.1796875" style="11" customWidth="1"/>
    <col min="11" max="11" width="25" style="11" bestFit="1" customWidth="1"/>
    <col min="12" max="12" width="80.7265625" style="11" customWidth="1"/>
    <col min="13" max="16384" width="6.453125" style="11"/>
  </cols>
  <sheetData>
    <row r="1" spans="1:12" x14ac:dyDescent="0.35">
      <c r="H1" s="13"/>
      <c r="I1" s="13"/>
    </row>
    <row r="2" spans="1:12" ht="24.5" x14ac:dyDescent="0.35">
      <c r="B2" s="14" t="s">
        <v>38</v>
      </c>
      <c r="C2" s="11"/>
      <c r="D2" s="11"/>
      <c r="E2" s="11"/>
      <c r="F2" s="11"/>
      <c r="G2" s="11"/>
      <c r="H2" s="11"/>
      <c r="I2" s="11"/>
    </row>
    <row r="3" spans="1:12" ht="15" customHeight="1" thickBot="1" x14ac:dyDescent="0.4">
      <c r="B3" s="14"/>
      <c r="C3" s="11"/>
      <c r="D3" s="11"/>
      <c r="E3" s="11"/>
      <c r="F3" s="11"/>
      <c r="G3" s="11"/>
      <c r="H3" s="11"/>
      <c r="I3" s="11"/>
    </row>
    <row r="4" spans="1:12" ht="20.149999999999999" customHeight="1" thickBot="1" x14ac:dyDescent="0.4">
      <c r="A4" s="15"/>
      <c r="B4" s="16" t="s">
        <v>39</v>
      </c>
      <c r="C4" s="56"/>
      <c r="D4" s="57"/>
      <c r="E4" s="57"/>
      <c r="F4" s="57"/>
      <c r="G4" s="58"/>
      <c r="H4" s="11"/>
      <c r="I4" s="11"/>
    </row>
    <row r="5" spans="1:12" ht="20.149999999999999" customHeight="1" x14ac:dyDescent="0.35">
      <c r="A5" s="15"/>
      <c r="B5" s="17" t="s">
        <v>41</v>
      </c>
      <c r="C5" s="59"/>
      <c r="D5" s="60"/>
      <c r="E5" s="60"/>
      <c r="F5" s="60"/>
      <c r="G5" s="61"/>
      <c r="H5" s="11"/>
      <c r="I5" s="11"/>
    </row>
    <row r="6" spans="1:12" ht="20.149999999999999" customHeight="1" thickBot="1" x14ac:dyDescent="0.4">
      <c r="A6" s="15"/>
      <c r="B6" s="18" t="s">
        <v>42</v>
      </c>
      <c r="C6" s="62"/>
      <c r="D6" s="63"/>
      <c r="E6" s="63"/>
      <c r="F6" s="63"/>
      <c r="G6" s="64"/>
      <c r="H6" s="11"/>
      <c r="I6" s="11"/>
    </row>
    <row r="7" spans="1:12" ht="20.149999999999999" customHeight="1" x14ac:dyDescent="0.35">
      <c r="A7" s="15"/>
      <c r="B7" s="17" t="s">
        <v>43</v>
      </c>
      <c r="C7" s="59"/>
      <c r="D7" s="60"/>
      <c r="E7" s="60"/>
      <c r="F7" s="60"/>
      <c r="G7" s="61"/>
      <c r="H7" s="11"/>
      <c r="I7" s="11"/>
    </row>
    <row r="8" spans="1:12" ht="20.149999999999999" customHeight="1" thickBot="1" x14ac:dyDescent="0.4">
      <c r="A8" s="15"/>
      <c r="B8" s="18" t="s">
        <v>44</v>
      </c>
      <c r="C8" s="62"/>
      <c r="D8" s="63"/>
      <c r="E8" s="63"/>
      <c r="F8" s="63"/>
      <c r="G8" s="64"/>
      <c r="H8" s="19"/>
      <c r="I8" s="19"/>
    </row>
    <row r="9" spans="1:12" ht="20.149999999999999" customHeight="1" thickBot="1" x14ac:dyDescent="0.4">
      <c r="A9" s="15"/>
      <c r="B9" s="16" t="s">
        <v>45</v>
      </c>
      <c r="C9" s="53">
        <f>NETWORKDAYS(C7,C8,祝日!$B$1:$B$16) - NETWORKDAYS(C5,C6,祝日!$B$1:$B$16)</f>
        <v>0</v>
      </c>
      <c r="D9" s="54"/>
      <c r="E9" s="54"/>
      <c r="F9" s="54"/>
      <c r="G9" s="55"/>
      <c r="H9" s="50" t="s">
        <v>86</v>
      </c>
      <c r="I9" s="19"/>
    </row>
    <row r="10" spans="1:12" ht="18" customHeight="1" x14ac:dyDescent="0.35">
      <c r="A10" s="15"/>
      <c r="B10" s="20"/>
      <c r="C10" s="21"/>
      <c r="D10" s="21"/>
      <c r="E10" s="21"/>
      <c r="F10" s="21"/>
      <c r="G10" s="21"/>
      <c r="H10" s="21"/>
      <c r="I10" s="21"/>
      <c r="J10" s="21"/>
    </row>
    <row r="11" spans="1:12" ht="18" customHeight="1" x14ac:dyDescent="0.35">
      <c r="A11" s="15"/>
      <c r="B11" s="20"/>
      <c r="C11" s="21"/>
      <c r="D11" s="21"/>
      <c r="E11" s="21"/>
      <c r="F11" s="21"/>
      <c r="G11" s="21"/>
      <c r="H11" s="21"/>
      <c r="I11" s="21"/>
      <c r="J11" s="21"/>
    </row>
    <row r="12" spans="1:12" ht="24.5" x14ac:dyDescent="0.35">
      <c r="B12" s="14" t="s">
        <v>47</v>
      </c>
      <c r="C12" s="11"/>
      <c r="D12" s="11"/>
      <c r="E12" s="11"/>
      <c r="F12" s="11"/>
      <c r="G12" s="11"/>
      <c r="H12" s="11"/>
      <c r="I12" s="11"/>
    </row>
    <row r="13" spans="1:12" ht="25" thickBot="1" x14ac:dyDescent="0.4">
      <c r="B13" s="14"/>
      <c r="C13" s="11"/>
      <c r="D13" s="11"/>
      <c r="E13" s="11"/>
      <c r="F13" s="50" t="s">
        <v>86</v>
      </c>
      <c r="G13" s="11"/>
      <c r="H13" s="11"/>
      <c r="I13" s="135" t="s">
        <v>86</v>
      </c>
      <c r="J13" s="135"/>
    </row>
    <row r="14" spans="1:12" ht="30" customHeight="1" x14ac:dyDescent="0.35">
      <c r="B14" s="68" t="s">
        <v>48</v>
      </c>
      <c r="C14" s="136" t="s">
        <v>49</v>
      </c>
      <c r="D14" s="70" t="s">
        <v>50</v>
      </c>
      <c r="E14" s="71"/>
      <c r="F14" s="72"/>
      <c r="G14" s="70" t="s">
        <v>51</v>
      </c>
      <c r="H14" s="71"/>
      <c r="I14" s="72"/>
      <c r="J14" s="65" t="s">
        <v>52</v>
      </c>
      <c r="K14" s="65" t="s">
        <v>53</v>
      </c>
      <c r="L14" s="65" t="s">
        <v>54</v>
      </c>
    </row>
    <row r="15" spans="1:12" ht="30" customHeight="1" x14ac:dyDescent="0.35">
      <c r="B15" s="69"/>
      <c r="C15" s="137"/>
      <c r="D15" s="22" t="s">
        <v>55</v>
      </c>
      <c r="E15" s="23" t="s">
        <v>56</v>
      </c>
      <c r="F15" s="24" t="s">
        <v>57</v>
      </c>
      <c r="G15" s="25" t="s">
        <v>58</v>
      </c>
      <c r="H15" s="23" t="s">
        <v>56</v>
      </c>
      <c r="I15" s="24" t="s">
        <v>57</v>
      </c>
      <c r="J15" s="66"/>
      <c r="K15" s="66"/>
      <c r="L15" s="66"/>
    </row>
    <row r="16" spans="1:12" ht="20.149999999999999" customHeight="1" x14ac:dyDescent="0.35">
      <c r="B16" s="26" t="s">
        <v>91</v>
      </c>
      <c r="C16" s="46"/>
      <c r="D16" s="28">
        <v>45981</v>
      </c>
      <c r="E16" s="28">
        <v>45982</v>
      </c>
      <c r="F16" s="30">
        <f>NETWORKDAYS(D16,E16,祝日!$B$1:$B$16)</f>
        <v>2</v>
      </c>
      <c r="G16" s="28">
        <v>45981</v>
      </c>
      <c r="H16" s="28">
        <v>45981</v>
      </c>
      <c r="I16" s="31">
        <f>NETWORKDAYS(G16,H16,祝日!$B$1:$B$16)</f>
        <v>1</v>
      </c>
      <c r="J16" s="32">
        <f>I16-F16</f>
        <v>-1</v>
      </c>
      <c r="K16" s="33"/>
      <c r="L16" s="27"/>
    </row>
    <row r="17" spans="2:12" ht="20.149999999999999" customHeight="1" x14ac:dyDescent="0.35">
      <c r="B17" s="26" t="s">
        <v>92</v>
      </c>
      <c r="C17" s="46"/>
      <c r="D17" s="28">
        <v>45981</v>
      </c>
      <c r="E17" s="28">
        <v>45982</v>
      </c>
      <c r="F17" s="30">
        <f>NETWORKDAYS(D17,E17,祝日!$B$1:$B$16)</f>
        <v>2</v>
      </c>
      <c r="G17" s="28">
        <v>45981</v>
      </c>
      <c r="H17" s="29">
        <v>45981</v>
      </c>
      <c r="I17" s="31">
        <f>NETWORKDAYS(G17,H17,祝日!$B$1:$B$16)</f>
        <v>1</v>
      </c>
      <c r="J17" s="32">
        <f t="shared" ref="J17:J40" si="0">I17-F17</f>
        <v>-1</v>
      </c>
      <c r="K17" s="33"/>
      <c r="L17" s="27"/>
    </row>
    <row r="18" spans="2:12" ht="20.149999999999999" customHeight="1" x14ac:dyDescent="0.35">
      <c r="B18" s="26" t="s">
        <v>93</v>
      </c>
      <c r="C18" s="46"/>
      <c r="D18" s="28">
        <v>45981</v>
      </c>
      <c r="E18" s="29">
        <v>45982</v>
      </c>
      <c r="F18" s="30">
        <f>NETWORKDAYS(D18,E18,祝日!$B$1:$B$16)</f>
        <v>2</v>
      </c>
      <c r="G18" s="28">
        <v>45981</v>
      </c>
      <c r="H18" s="29">
        <v>45982</v>
      </c>
      <c r="I18" s="31">
        <f>NETWORKDAYS(G18,H18,祝日!$B$1:$B$16)</f>
        <v>2</v>
      </c>
      <c r="J18" s="32">
        <f t="shared" si="0"/>
        <v>0</v>
      </c>
      <c r="K18" s="33"/>
      <c r="L18" s="27"/>
    </row>
    <row r="19" spans="2:12" ht="20.149999999999999" customHeight="1" x14ac:dyDescent="0.35">
      <c r="B19" s="26" t="s">
        <v>94</v>
      </c>
      <c r="C19" s="46"/>
      <c r="D19" s="28">
        <v>45981</v>
      </c>
      <c r="E19" s="28">
        <v>45987</v>
      </c>
      <c r="F19" s="30">
        <f>NETWORKDAYS(D19,E19,祝日!$B$1:$B$16)</f>
        <v>5</v>
      </c>
      <c r="G19" s="28">
        <v>45981</v>
      </c>
      <c r="H19" s="29">
        <v>45985</v>
      </c>
      <c r="I19" s="31">
        <f>NETWORKDAYS(G19,H19,祝日!$B$1:$B$16)</f>
        <v>3</v>
      </c>
      <c r="J19" s="32">
        <f t="shared" si="0"/>
        <v>-2</v>
      </c>
      <c r="K19" s="33"/>
      <c r="L19" s="27"/>
    </row>
    <row r="20" spans="2:12" ht="20.149999999999999" customHeight="1" x14ac:dyDescent="0.35">
      <c r="B20" s="26" t="s">
        <v>95</v>
      </c>
      <c r="C20" s="46"/>
      <c r="D20" s="28">
        <v>45987</v>
      </c>
      <c r="E20" s="28">
        <v>45988</v>
      </c>
      <c r="F20" s="30">
        <f>NETWORKDAYS(D20,E20,祝日!$B$1:$B$16)</f>
        <v>2</v>
      </c>
      <c r="G20" s="28">
        <v>45981</v>
      </c>
      <c r="H20" s="29">
        <v>45989</v>
      </c>
      <c r="I20" s="31">
        <f>NETWORKDAYS(G20,H20,祝日!$B$1:$B$16)</f>
        <v>7</v>
      </c>
      <c r="J20" s="32">
        <f t="shared" si="0"/>
        <v>5</v>
      </c>
      <c r="K20" s="33"/>
      <c r="L20" s="27"/>
    </row>
    <row r="21" spans="2:12" ht="20.149999999999999" customHeight="1" x14ac:dyDescent="0.35">
      <c r="B21" s="26" t="s">
        <v>96</v>
      </c>
      <c r="C21" s="46"/>
      <c r="D21" s="28">
        <v>45987</v>
      </c>
      <c r="E21" s="28">
        <v>45988</v>
      </c>
      <c r="F21" s="30">
        <f>NETWORKDAYS(D21,E21,祝日!$B$1:$B$16)</f>
        <v>2</v>
      </c>
      <c r="G21" s="28">
        <v>45989</v>
      </c>
      <c r="H21" s="29"/>
      <c r="I21" s="31">
        <f>NETWORKDAYS(G21,H21,祝日!$B$1:$B$16)</f>
        <v>-32835</v>
      </c>
      <c r="J21" s="32">
        <f t="shared" si="0"/>
        <v>-32837</v>
      </c>
      <c r="K21" s="33"/>
      <c r="L21" s="27"/>
    </row>
    <row r="22" spans="2:12" ht="20.149999999999999" customHeight="1" x14ac:dyDescent="0.35">
      <c r="B22" s="26"/>
      <c r="C22" s="46"/>
      <c r="D22" s="28"/>
      <c r="E22" s="29"/>
      <c r="F22" s="30">
        <f>NETWORKDAYS(D22,E22,祝日!$B$1:$B$16)</f>
        <v>0</v>
      </c>
      <c r="G22" s="28"/>
      <c r="H22" s="29"/>
      <c r="I22" s="31">
        <f>NETWORKDAYS(G22,H22,祝日!$B$1:$B$16)</f>
        <v>0</v>
      </c>
      <c r="J22" s="32">
        <f t="shared" si="0"/>
        <v>0</v>
      </c>
      <c r="K22" s="33"/>
      <c r="L22" s="27"/>
    </row>
    <row r="23" spans="2:12" ht="20.149999999999999" customHeight="1" x14ac:dyDescent="0.35">
      <c r="B23" s="34"/>
      <c r="C23" s="46"/>
      <c r="D23" s="35"/>
      <c r="E23" s="29"/>
      <c r="F23" s="30">
        <f>NETWORKDAYS(D23,E23,祝日!$B$1:$B$16)</f>
        <v>0</v>
      </c>
      <c r="G23" s="28"/>
      <c r="H23" s="29"/>
      <c r="I23" s="31">
        <f>NETWORKDAYS(G23,H23,祝日!$B$1:$B$16)</f>
        <v>0</v>
      </c>
      <c r="J23" s="32">
        <f t="shared" si="0"/>
        <v>0</v>
      </c>
      <c r="K23" s="33"/>
      <c r="L23" s="27"/>
    </row>
    <row r="24" spans="2:12" ht="20.149999999999999" customHeight="1" x14ac:dyDescent="0.35">
      <c r="B24" s="34"/>
      <c r="C24" s="46"/>
      <c r="D24" s="35"/>
      <c r="E24" s="29"/>
      <c r="F24" s="30">
        <f>NETWORKDAYS(D24,E24,祝日!$B$1:$B$16)</f>
        <v>0</v>
      </c>
      <c r="G24" s="28"/>
      <c r="H24" s="29"/>
      <c r="I24" s="31">
        <f>NETWORKDAYS(G24,H24,祝日!$B$1:$B$16)</f>
        <v>0</v>
      </c>
      <c r="J24" s="32">
        <f t="shared" si="0"/>
        <v>0</v>
      </c>
      <c r="K24" s="33"/>
      <c r="L24" s="27"/>
    </row>
    <row r="25" spans="2:12" ht="20.149999999999999" customHeight="1" x14ac:dyDescent="0.35">
      <c r="B25" s="34"/>
      <c r="C25" s="46"/>
      <c r="D25" s="35"/>
      <c r="E25" s="29"/>
      <c r="F25" s="30">
        <f>NETWORKDAYS(D25,E25,祝日!$B$1:$B$16)</f>
        <v>0</v>
      </c>
      <c r="G25" s="28"/>
      <c r="H25" s="29"/>
      <c r="I25" s="31">
        <f>NETWORKDAYS(G25,H25,祝日!$B$1:$B$16)</f>
        <v>0</v>
      </c>
      <c r="J25" s="32">
        <f t="shared" si="0"/>
        <v>0</v>
      </c>
      <c r="K25" s="33"/>
      <c r="L25" s="27"/>
    </row>
    <row r="26" spans="2:12" ht="20.149999999999999" customHeight="1" x14ac:dyDescent="0.35">
      <c r="B26" s="34"/>
      <c r="C26" s="46"/>
      <c r="D26" s="35"/>
      <c r="E26" s="29"/>
      <c r="F26" s="30">
        <f>NETWORKDAYS(D26,E26,祝日!$B$1:$B$16)</f>
        <v>0</v>
      </c>
      <c r="G26" s="28"/>
      <c r="H26" s="29"/>
      <c r="I26" s="31">
        <f>NETWORKDAYS(G26,H26,祝日!$B$1:$B$16)</f>
        <v>0</v>
      </c>
      <c r="J26" s="32">
        <f t="shared" si="0"/>
        <v>0</v>
      </c>
      <c r="K26" s="33"/>
      <c r="L26" s="27"/>
    </row>
    <row r="27" spans="2:12" ht="20.149999999999999" customHeight="1" x14ac:dyDescent="0.35">
      <c r="B27" s="34"/>
      <c r="C27" s="46"/>
      <c r="D27" s="35"/>
      <c r="E27" s="29"/>
      <c r="F27" s="30">
        <f>NETWORKDAYS(D27,E27,祝日!$B$1:$B$16)</f>
        <v>0</v>
      </c>
      <c r="G27" s="28"/>
      <c r="H27" s="29"/>
      <c r="I27" s="31">
        <f>NETWORKDAYS(G27,H27,祝日!$B$1:$B$16)</f>
        <v>0</v>
      </c>
      <c r="J27" s="32">
        <f t="shared" si="0"/>
        <v>0</v>
      </c>
      <c r="K27" s="33"/>
      <c r="L27" s="27"/>
    </row>
    <row r="28" spans="2:12" ht="20.149999999999999" customHeight="1" x14ac:dyDescent="0.35">
      <c r="B28" s="34"/>
      <c r="C28" s="46"/>
      <c r="D28" s="35"/>
      <c r="E28" s="29"/>
      <c r="F28" s="30">
        <f>NETWORKDAYS(D28,E28,祝日!$B$1:$B$16)</f>
        <v>0</v>
      </c>
      <c r="G28" s="28"/>
      <c r="H28" s="29"/>
      <c r="I28" s="31">
        <f>NETWORKDAYS(G28,H28,祝日!$B$1:$B$16)</f>
        <v>0</v>
      </c>
      <c r="J28" s="32">
        <f t="shared" si="0"/>
        <v>0</v>
      </c>
      <c r="K28" s="33"/>
      <c r="L28" s="27"/>
    </row>
    <row r="29" spans="2:12" ht="20.149999999999999" customHeight="1" x14ac:dyDescent="0.35">
      <c r="B29" s="34"/>
      <c r="C29" s="46"/>
      <c r="D29" s="35"/>
      <c r="E29" s="29"/>
      <c r="F29" s="30">
        <f>NETWORKDAYS(D29,E29,祝日!$B$1:$B$16)</f>
        <v>0</v>
      </c>
      <c r="G29" s="28"/>
      <c r="H29" s="29"/>
      <c r="I29" s="31">
        <f>NETWORKDAYS(G29,H29,祝日!$B$1:$B$16)</f>
        <v>0</v>
      </c>
      <c r="J29" s="32">
        <f t="shared" si="0"/>
        <v>0</v>
      </c>
      <c r="K29" s="33"/>
      <c r="L29" s="27"/>
    </row>
    <row r="30" spans="2:12" ht="20.149999999999999" customHeight="1" x14ac:dyDescent="0.35">
      <c r="B30" s="34"/>
      <c r="C30" s="46"/>
      <c r="D30" s="35"/>
      <c r="E30" s="29"/>
      <c r="F30" s="30">
        <f>NETWORKDAYS(D30,E30,祝日!$B$1:$B$16)</f>
        <v>0</v>
      </c>
      <c r="G30" s="28"/>
      <c r="H30" s="29"/>
      <c r="I30" s="31">
        <f>NETWORKDAYS(G30,H30,祝日!$B$1:$B$16)</f>
        <v>0</v>
      </c>
      <c r="J30" s="32">
        <f t="shared" si="0"/>
        <v>0</v>
      </c>
      <c r="K30" s="33"/>
      <c r="L30" s="27"/>
    </row>
    <row r="31" spans="2:12" ht="20.149999999999999" customHeight="1" x14ac:dyDescent="0.35">
      <c r="B31" s="34"/>
      <c r="C31" s="46"/>
      <c r="D31" s="35"/>
      <c r="E31" s="29"/>
      <c r="F31" s="30">
        <f>NETWORKDAYS(D31,E31,祝日!$B$1:$B$16)</f>
        <v>0</v>
      </c>
      <c r="G31" s="28"/>
      <c r="H31" s="29"/>
      <c r="I31" s="31">
        <f>NETWORKDAYS(G31,H31,祝日!$B$1:$B$16)</f>
        <v>0</v>
      </c>
      <c r="J31" s="32">
        <f t="shared" si="0"/>
        <v>0</v>
      </c>
      <c r="K31" s="33"/>
      <c r="L31" s="27"/>
    </row>
    <row r="32" spans="2:12" ht="20.149999999999999" customHeight="1" x14ac:dyDescent="0.35">
      <c r="B32" s="34"/>
      <c r="C32" s="46"/>
      <c r="D32" s="35"/>
      <c r="E32" s="29"/>
      <c r="F32" s="30">
        <f>NETWORKDAYS(D32,E32,祝日!$B$1:$B$16)</f>
        <v>0</v>
      </c>
      <c r="G32" s="28"/>
      <c r="H32" s="29"/>
      <c r="I32" s="31">
        <f>NETWORKDAYS(G32,H32,祝日!$B$1:$B$16)</f>
        <v>0</v>
      </c>
      <c r="J32" s="32">
        <f t="shared" si="0"/>
        <v>0</v>
      </c>
      <c r="K32" s="33"/>
      <c r="L32" s="27"/>
    </row>
    <row r="33" spans="2:12" ht="20.149999999999999" customHeight="1" x14ac:dyDescent="0.35">
      <c r="B33" s="34"/>
      <c r="C33" s="46"/>
      <c r="D33" s="35"/>
      <c r="E33" s="29"/>
      <c r="F33" s="30">
        <f>NETWORKDAYS(D33,E33,祝日!$B$1:$B$16)</f>
        <v>0</v>
      </c>
      <c r="G33" s="28"/>
      <c r="H33" s="29"/>
      <c r="I33" s="31">
        <f>NETWORKDAYS(G33,H33,祝日!$B$1:$B$16)</f>
        <v>0</v>
      </c>
      <c r="J33" s="32">
        <f t="shared" si="0"/>
        <v>0</v>
      </c>
      <c r="K33" s="33"/>
      <c r="L33" s="27"/>
    </row>
    <row r="34" spans="2:12" ht="20.149999999999999" customHeight="1" x14ac:dyDescent="0.35">
      <c r="B34" s="34"/>
      <c r="C34" s="46"/>
      <c r="D34" s="35"/>
      <c r="E34" s="29"/>
      <c r="F34" s="30">
        <f>NETWORKDAYS(D34,E34,祝日!$B$1:$B$16)</f>
        <v>0</v>
      </c>
      <c r="G34" s="28"/>
      <c r="H34" s="29"/>
      <c r="I34" s="31">
        <f>NETWORKDAYS(G34,H34,祝日!$B$1:$B$16)</f>
        <v>0</v>
      </c>
      <c r="J34" s="32">
        <f t="shared" si="0"/>
        <v>0</v>
      </c>
      <c r="K34" s="33"/>
      <c r="L34" s="27"/>
    </row>
    <row r="35" spans="2:12" ht="20.149999999999999" customHeight="1" x14ac:dyDescent="0.35">
      <c r="B35" s="34"/>
      <c r="C35" s="46"/>
      <c r="D35" s="35"/>
      <c r="E35" s="29"/>
      <c r="F35" s="30">
        <f>NETWORKDAYS(D35,E35,祝日!$B$1:$B$16)</f>
        <v>0</v>
      </c>
      <c r="G35" s="28"/>
      <c r="H35" s="29"/>
      <c r="I35" s="31">
        <f>NETWORKDAYS(G35,H35,祝日!$B$1:$B$16)</f>
        <v>0</v>
      </c>
      <c r="J35" s="32">
        <f t="shared" si="0"/>
        <v>0</v>
      </c>
      <c r="K35" s="33"/>
      <c r="L35" s="27"/>
    </row>
    <row r="36" spans="2:12" ht="20.149999999999999" customHeight="1" x14ac:dyDescent="0.35">
      <c r="B36" s="34"/>
      <c r="C36" s="46"/>
      <c r="D36" s="35"/>
      <c r="E36" s="29"/>
      <c r="F36" s="30">
        <f>NETWORKDAYS(D36,E36,祝日!$B$1:$B$16)</f>
        <v>0</v>
      </c>
      <c r="G36" s="28"/>
      <c r="H36" s="29"/>
      <c r="I36" s="31">
        <f>NETWORKDAYS(G36,H36,祝日!$B$1:$B$16)</f>
        <v>0</v>
      </c>
      <c r="J36" s="32">
        <f t="shared" si="0"/>
        <v>0</v>
      </c>
      <c r="K36" s="33"/>
      <c r="L36" s="27"/>
    </row>
    <row r="37" spans="2:12" ht="20.149999999999999" customHeight="1" x14ac:dyDescent="0.35">
      <c r="B37" s="34"/>
      <c r="C37" s="46"/>
      <c r="D37" s="35"/>
      <c r="E37" s="29"/>
      <c r="F37" s="30">
        <f>NETWORKDAYS(D37,E37,祝日!$B$1:$B$16)</f>
        <v>0</v>
      </c>
      <c r="G37" s="28"/>
      <c r="H37" s="29"/>
      <c r="I37" s="31">
        <f>NETWORKDAYS(G37,H37,祝日!$B$1:$B$16)</f>
        <v>0</v>
      </c>
      <c r="J37" s="32">
        <f t="shared" si="0"/>
        <v>0</v>
      </c>
      <c r="K37" s="33"/>
      <c r="L37" s="27"/>
    </row>
    <row r="38" spans="2:12" ht="20.149999999999999" customHeight="1" x14ac:dyDescent="0.35">
      <c r="B38" s="34"/>
      <c r="C38" s="46"/>
      <c r="D38" s="35"/>
      <c r="E38" s="29"/>
      <c r="F38" s="30">
        <f>NETWORKDAYS(D38,E38,祝日!$B$1:$B$16)</f>
        <v>0</v>
      </c>
      <c r="G38" s="28"/>
      <c r="H38" s="29"/>
      <c r="I38" s="31">
        <f>NETWORKDAYS(G38,H38,祝日!$B$1:$B$16)</f>
        <v>0</v>
      </c>
      <c r="J38" s="32">
        <f t="shared" si="0"/>
        <v>0</v>
      </c>
      <c r="K38" s="33"/>
      <c r="L38" s="27"/>
    </row>
    <row r="39" spans="2:12" ht="20.149999999999999" customHeight="1" x14ac:dyDescent="0.35">
      <c r="B39" s="34"/>
      <c r="C39" s="46"/>
      <c r="D39" s="35"/>
      <c r="E39" s="29"/>
      <c r="F39" s="30">
        <f>NETWORKDAYS(D39,E39,祝日!$B$1:$B$16)</f>
        <v>0</v>
      </c>
      <c r="G39" s="28"/>
      <c r="H39" s="29"/>
      <c r="I39" s="31">
        <f>NETWORKDAYS(G39,H39,祝日!$B$1:$B$16)</f>
        <v>0</v>
      </c>
      <c r="J39" s="32">
        <f t="shared" si="0"/>
        <v>0</v>
      </c>
      <c r="K39" s="33"/>
      <c r="L39" s="27"/>
    </row>
    <row r="40" spans="2:12" ht="20.149999999999999" customHeight="1" thickBot="1" x14ac:dyDescent="0.4">
      <c r="B40" s="36" t="s">
        <v>89</v>
      </c>
      <c r="C40" s="47"/>
      <c r="D40" s="38"/>
      <c r="E40" s="39"/>
      <c r="F40" s="40">
        <f>NETWORKDAYS(D40,E40,祝日!$B$1:$B$16)</f>
        <v>0</v>
      </c>
      <c r="G40" s="41"/>
      <c r="H40" s="39"/>
      <c r="I40" s="42">
        <f>NETWORKDAYS(G40,H40,祝日!$B$1:$B$16)</f>
        <v>0</v>
      </c>
      <c r="J40" s="43">
        <f t="shared" si="0"/>
        <v>0</v>
      </c>
      <c r="K40" s="44"/>
      <c r="L40" s="37"/>
    </row>
  </sheetData>
  <mergeCells count="14">
    <mergeCell ref="K14:K15"/>
    <mergeCell ref="L14:L15"/>
    <mergeCell ref="I13:J13"/>
    <mergeCell ref="B14:B15"/>
    <mergeCell ref="C14:C15"/>
    <mergeCell ref="D14:F14"/>
    <mergeCell ref="G14:I14"/>
    <mergeCell ref="J14:J15"/>
    <mergeCell ref="C9:G9"/>
    <mergeCell ref="C4:G4"/>
    <mergeCell ref="C5:G5"/>
    <mergeCell ref="C6:G6"/>
    <mergeCell ref="C7:G7"/>
    <mergeCell ref="C8:G8"/>
  </mergeCells>
  <phoneticPr fontId="1"/>
  <dataValidations count="3">
    <dataValidation allowBlank="1" showErrorMessage="1" sqref="B14:C14 D15:I15 J14:L14" xr:uid="{C382E138-1AA6-4E22-88B2-876D1340836D}"/>
    <dataValidation type="list" allowBlank="1" showErrorMessage="1" sqref="C16:C40" xr:uid="{D191E767-701F-4B67-8FBB-FED5C1E36D1B}">
      <formula1>"追加"</formula1>
    </dataValidation>
    <dataValidation type="list" allowBlank="1" showInputMessage="1" showErrorMessage="1" sqref="K16:K40" xr:uid="{36F1E62B-B259-48D0-B9E6-EF8022D8C7D8}">
      <formula1>"未実施,実施中,終了"</formula1>
    </dataValidation>
  </dataValidations>
  <pageMargins left="0.25" right="0.25" top="0.75" bottom="0.75" header="0.3" footer="0.3"/>
  <pageSetup paperSize="9" scale="7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DE33-1068-41C3-B2DE-5F9EED2AFFDE}">
  <dimension ref="A1:B16"/>
  <sheetViews>
    <sheetView workbookViewId="0">
      <selection activeCell="K16" sqref="K16"/>
    </sheetView>
  </sheetViews>
  <sheetFormatPr defaultColWidth="9.1796875" defaultRowHeight="15" x14ac:dyDescent="0.35"/>
  <cols>
    <col min="1" max="1" width="18.1796875" style="48" customWidth="1"/>
    <col min="2" max="2" width="12.453125" style="49" customWidth="1"/>
    <col min="3" max="16384" width="9.1796875" style="11"/>
  </cols>
  <sheetData>
    <row r="1" spans="1:2" x14ac:dyDescent="0.35">
      <c r="A1" s="48" t="s">
        <v>70</v>
      </c>
      <c r="B1" s="49">
        <v>44562</v>
      </c>
    </row>
    <row r="2" spans="1:2" x14ac:dyDescent="0.35">
      <c r="A2" s="48" t="s">
        <v>71</v>
      </c>
      <c r="B2" s="49">
        <v>44571</v>
      </c>
    </row>
    <row r="3" spans="1:2" x14ac:dyDescent="0.35">
      <c r="A3" s="48" t="s">
        <v>72</v>
      </c>
      <c r="B3" s="49">
        <v>44603</v>
      </c>
    </row>
    <row r="4" spans="1:2" x14ac:dyDescent="0.35">
      <c r="A4" s="48" t="s">
        <v>73</v>
      </c>
      <c r="B4" s="49">
        <v>44615</v>
      </c>
    </row>
    <row r="5" spans="1:2" x14ac:dyDescent="0.35">
      <c r="A5" s="48" t="s">
        <v>74</v>
      </c>
      <c r="B5" s="49">
        <v>44641</v>
      </c>
    </row>
    <row r="6" spans="1:2" x14ac:dyDescent="0.35">
      <c r="A6" s="48" t="s">
        <v>75</v>
      </c>
      <c r="B6" s="49">
        <v>44680</v>
      </c>
    </row>
    <row r="7" spans="1:2" x14ac:dyDescent="0.35">
      <c r="A7" s="48" t="s">
        <v>76</v>
      </c>
      <c r="B7" s="49">
        <v>44684</v>
      </c>
    </row>
    <row r="8" spans="1:2" x14ac:dyDescent="0.35">
      <c r="A8" s="48" t="s">
        <v>77</v>
      </c>
      <c r="B8" s="49">
        <v>44685</v>
      </c>
    </row>
    <row r="9" spans="1:2" x14ac:dyDescent="0.35">
      <c r="A9" s="48" t="s">
        <v>78</v>
      </c>
      <c r="B9" s="49">
        <v>44686</v>
      </c>
    </row>
    <row r="10" spans="1:2" x14ac:dyDescent="0.35">
      <c r="A10" s="48" t="s">
        <v>79</v>
      </c>
      <c r="B10" s="49">
        <v>44760</v>
      </c>
    </row>
    <row r="11" spans="1:2" x14ac:dyDescent="0.35">
      <c r="A11" s="48" t="s">
        <v>80</v>
      </c>
      <c r="B11" s="49">
        <v>44784</v>
      </c>
    </row>
    <row r="12" spans="1:2" x14ac:dyDescent="0.35">
      <c r="A12" s="48" t="s">
        <v>81</v>
      </c>
      <c r="B12" s="49">
        <v>44823</v>
      </c>
    </row>
    <row r="13" spans="1:2" x14ac:dyDescent="0.35">
      <c r="A13" s="48" t="s">
        <v>82</v>
      </c>
      <c r="B13" s="49">
        <v>44827</v>
      </c>
    </row>
    <row r="14" spans="1:2" x14ac:dyDescent="0.35">
      <c r="A14" s="48" t="s">
        <v>83</v>
      </c>
      <c r="B14" s="49">
        <v>44844</v>
      </c>
    </row>
    <row r="15" spans="1:2" x14ac:dyDescent="0.35">
      <c r="A15" s="48" t="s">
        <v>84</v>
      </c>
      <c r="B15" s="49">
        <v>44868</v>
      </c>
    </row>
    <row r="16" spans="1:2" x14ac:dyDescent="0.35">
      <c r="A16" s="48" t="s">
        <v>85</v>
      </c>
      <c r="B16" s="49">
        <v>44888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5E29368567AD6449125F14CEE767630" ma:contentTypeVersion="15" ma:contentTypeDescription="新しいドキュメントを作成します。" ma:contentTypeScope="" ma:versionID="8fff082575e9e20b62416ea42c01d8b8">
  <xsd:schema xmlns:xsd="http://www.w3.org/2001/XMLSchema" xmlns:xs="http://www.w3.org/2001/XMLSchema" xmlns:p="http://schemas.microsoft.com/office/2006/metadata/properties" xmlns:ns2="b61055f7-3226-43ad-8f79-74edf997ab62" xmlns:ns3="0db1fb42-af78-4c89-8e36-8ddbb84d373e" targetNamespace="http://schemas.microsoft.com/office/2006/metadata/properties" ma:root="true" ma:fieldsID="47f51dd002bee09c9b3639ad91b2f69b" ns2:_="" ns3:_="">
    <xsd:import namespace="b61055f7-3226-43ad-8f79-74edf997ab62"/>
    <xsd:import namespace="0db1fb42-af78-4c89-8e36-8ddbb84d373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1055f7-3226-43ad-8f79-74edf997a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df40507-9f44-4579-b7b6-84d525d14a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b1fb42-af78-4c89-8e36-8ddbb84d373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0a19a81-9861-47fe-b439-7e7425533709}" ma:internalName="TaxCatchAll" ma:readOnly="false" ma:showField="CatchAllData" ma:web="0db1fb42-af78-4c89-8e36-8ddbb84d373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4B68AC-3203-4E63-BFDC-8968B3C8E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1055f7-3226-43ad-8f79-74edf997ab62"/>
    <ds:schemaRef ds:uri="0db1fb42-af78-4c89-8e36-8ddbb84d37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F4E2E4-CCC3-4777-AE7B-7C5DF8DEB4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ポートフォリオの目的</vt:lpstr>
      <vt:lpstr>Sample成果物スケジュール_サンプル</vt:lpstr>
      <vt:lpstr>ポートフォリオ</vt:lpstr>
      <vt:lpstr>進捗管理表</vt:lpstr>
      <vt:lpstr>祝日</vt:lpstr>
      <vt:lpstr>Sample成果物スケジュール_サンプル!Print_Area</vt:lpstr>
      <vt:lpstr>進捗管理表!Print_Area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小林 めぐみ(PPT)</dc:creator>
  <cp:keywords/>
  <dc:description/>
  <cp:lastModifiedBy>ND013</cp:lastModifiedBy>
  <cp:revision/>
  <dcterms:created xsi:type="dcterms:W3CDTF">2024-05-16T08:39:57Z</dcterms:created>
  <dcterms:modified xsi:type="dcterms:W3CDTF">2025-11-28T06:26:58Z</dcterms:modified>
  <cp:category/>
  <cp:contentStatus/>
</cp:coreProperties>
</file>